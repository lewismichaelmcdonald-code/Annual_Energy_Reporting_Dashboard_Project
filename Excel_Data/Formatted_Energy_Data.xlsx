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wis\Desktop\Projects\Annual_Energy_Reporting_Dashboard_Project\Excel_Data\"/>
    </mc:Choice>
  </mc:AlternateContent>
  <xr:revisionPtr revIDLastSave="0" documentId="13_ncr:1_{F7BE4AA4-F937-4972-B22E-1A76D98CE27A}" xr6:coauthVersionLast="47" xr6:coauthVersionMax="47" xr10:uidLastSave="{00000000-0000-0000-0000-000000000000}"/>
  <bookViews>
    <workbookView xWindow="-120" yWindow="-120" windowWidth="29040" windowHeight="15720" activeTab="1" xr2:uid="{F8294C47-4F77-40C6-9850-85716CBA48C5}"/>
  </bookViews>
  <sheets>
    <sheet name="Information and Variables" sheetId="7" r:id="rId1"/>
    <sheet name="Combined Site Table" sheetId="6" r:id="rId2"/>
    <sheet name="EGLC_HDD_18.5C" sheetId="14" r:id="rId3"/>
    <sheet name="Site A" sheetId="2" r:id="rId4"/>
    <sheet name="Site B" sheetId="3" r:id="rId5"/>
    <sheet name="Site C" sheetId="4" r:id="rId6"/>
    <sheet name="Site D" sheetId="5" r:id="rId7"/>
    <sheet name="Fuels 23" sheetId="8" r:id="rId8"/>
    <sheet name="Fuels 24" sheetId="10" r:id="rId9"/>
    <sheet name="Fuels 25" sheetId="12" r:id="rId10"/>
    <sheet name="UK electricity 23" sheetId="9" r:id="rId11"/>
    <sheet name="UK electricity 24" sheetId="11" r:id="rId12"/>
    <sheet name="UK electricity 25" sheetId="13" r:id="rId13"/>
  </sheets>
  <externalReferences>
    <externalReference r:id="rId14"/>
  </externalReferences>
  <definedNames>
    <definedName name="AR5_Ratio">[1]Lookups!$J$33:$K$37</definedName>
    <definedName name="AR5_TruFal">[1]Lookups!$G$33:$H$73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99" i="6" l="1"/>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98"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50"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2"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98"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50"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2"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98"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50"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2"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98"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50"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2" i="6"/>
  <c r="D8" i="7"/>
  <c r="D6" i="7"/>
  <c r="D4" i="7"/>
  <c r="D9" i="7"/>
  <c r="D7" i="7"/>
  <c r="D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FFBF911D-D2ED-439B-A2B0-49E4324830AC}">
      <text>
        <r>
          <rPr>
            <b/>
            <sz val="8"/>
            <rFont val="Tahoma"/>
            <family val="2"/>
          </rPr>
          <t>Compressed natural gas - a compressed version of the same natural gas used in homes. Stored in cylinders for use as an alternative transport fuel.</t>
        </r>
      </text>
    </comment>
    <comment ref="B31" authorId="0" shapeId="0" xr:uid="{256DE460-3140-40CF-B735-EAB4A616CF4E}">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226BF51D-C10D-474F-B751-1EE38841934F}">
      <text>
        <r>
          <rPr>
            <b/>
            <sz val="8"/>
            <rFont val="Tahoma"/>
            <family val="2"/>
          </rPr>
          <t>Liquid petroleum gas - used to power cooking stoves or heaters off-grid and fuel some vehicles (such as fork-lift trucks and vans).</t>
        </r>
      </text>
    </comment>
    <comment ref="B39" authorId="0" shapeId="0" xr:uid="{93AC6F3F-229E-464F-B95E-FE65366124EB}">
      <text>
        <r>
          <rPr>
            <b/>
            <sz val="8"/>
            <rFont val="Tahoma"/>
            <family val="2"/>
          </rPr>
          <t>Standard natural gas received through the gas mains grid network in the UK. Note - contains limited biogas content.</t>
        </r>
      </text>
    </comment>
    <comment ref="B43" authorId="1" shapeId="0" xr:uid="{A584FE58-D4CF-4E22-AAB8-241152F5F59B}">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BCF3E8EB-5154-4D0D-A648-8AE392525088}">
      <text>
        <r>
          <rPr>
            <b/>
            <sz val="8"/>
            <rFont val="Tahoma"/>
            <family val="2"/>
          </rPr>
          <t>Consists mainly of ethane, plus other hydrocarbons, (excludes butane and propane).</t>
        </r>
      </text>
    </comment>
    <comment ref="B59" authorId="0" shapeId="0" xr:uid="{E683D183-6F73-46E2-AD13-A431FD345222}">
      <text>
        <r>
          <rPr>
            <b/>
            <sz val="8"/>
            <rFont val="Tahoma"/>
            <family val="2"/>
          </rPr>
          <t>Fuel for piston-engined aircraft - a high octane petrol (aka AVGAS).</t>
        </r>
      </text>
    </comment>
    <comment ref="B63" authorId="0" shapeId="0" xr:uid="{4DA6E55D-928E-41CF-A8D4-BE93A7A6C3B0}">
      <text>
        <r>
          <rPr>
            <b/>
            <sz val="8"/>
            <rFont val="Tahoma"/>
            <family val="2"/>
          </rPr>
          <t>Fuel for turbo-prop aircraft and jets (aka jet fuel). Similar to kerosene used as a heating fuel, but refined to a higher quality.</t>
        </r>
      </text>
    </comment>
    <comment ref="B67" authorId="0" shapeId="0" xr:uid="{5E33CD4A-FA49-4E69-A3EE-FFB4E3F6FDE8}">
      <text>
        <r>
          <rPr>
            <b/>
            <sz val="8"/>
            <rFont val="Tahoma"/>
            <family val="2"/>
          </rPr>
          <t>Main purpose is for heating/lighting on a domestic scale (also known as kerosene).</t>
        </r>
      </text>
    </comment>
    <comment ref="B71" authorId="0" shapeId="0" xr:uid="{E4396735-A066-4660-9F15-90982F8B5F57}">
      <text>
        <r>
          <rPr>
            <b/>
            <sz val="8"/>
            <rFont val="Tahoma"/>
            <family val="2"/>
          </rPr>
          <t>Standard diesel bought from any local filling station (across the board forecourt fuel typically contains biofuel content).</t>
        </r>
      </text>
    </comment>
    <comment ref="B75" authorId="0" shapeId="0" xr:uid="{DFE96868-55FA-413B-9D8D-D8762790703A}">
      <text>
        <r>
          <rPr>
            <b/>
            <sz val="8"/>
            <rFont val="Tahoma"/>
            <family val="2"/>
          </rPr>
          <t>Diesel that has not been blended with biofuel (non-forecourt diesel).</t>
        </r>
      </text>
    </comment>
    <comment ref="B79" authorId="0" shapeId="0" xr:uid="{E0CB53D4-D798-4628-B208-86EB89FD7496}">
      <text>
        <r>
          <rPr>
            <b/>
            <sz val="8"/>
            <rFont val="Tahoma"/>
            <family val="2"/>
          </rPr>
          <t>Heavy oil used as fuel in furnaces and boilers of power stations, in industry, for industrial heating and in ships.</t>
        </r>
      </text>
    </comment>
    <comment ref="B83" authorId="0" shapeId="0" xr:uid="{A857B97D-EE13-474E-B349-066FDB3FAA49}">
      <text>
        <r>
          <rPr>
            <b/>
            <sz val="8"/>
            <rFont val="Tahoma"/>
            <family val="2"/>
          </rPr>
          <t>Medium oil used in diesel engines and heating systems (also known as red diesel).</t>
        </r>
      </text>
    </comment>
    <comment ref="B87" authorId="2" shapeId="0" xr:uid="{5505AACA-19F4-4ECC-B7C8-72684D6790AE}">
      <text>
        <r>
          <rPr>
            <b/>
            <sz val="8"/>
            <color indexed="81"/>
            <rFont val="Tahoma"/>
            <family val="2"/>
          </rPr>
          <t>Waste petroleum-based lubricating oils recovered for use as fuels</t>
        </r>
      </text>
    </comment>
    <comment ref="B91" authorId="0" shapeId="0" xr:uid="{B0035E38-26F1-450A-AF45-DE5E19BFFB36}">
      <text>
        <r>
          <rPr>
            <b/>
            <sz val="8"/>
            <rFont val="Tahoma"/>
            <family val="2"/>
          </rPr>
          <t>A product of crude oil refining - often used as a solvent.</t>
        </r>
      </text>
    </comment>
    <comment ref="B95" authorId="0" shapeId="0" xr:uid="{F1438B5C-B740-4AFF-9753-489500ABDAA8}">
      <text>
        <r>
          <rPr>
            <b/>
            <sz val="8"/>
            <rFont val="Tahoma"/>
            <family val="2"/>
          </rPr>
          <t>Standard petrol bought from any local filling station (across the board forecourt fuel typically contains biofuel content).</t>
        </r>
      </text>
    </comment>
    <comment ref="B99" authorId="0" shapeId="0" xr:uid="{E6383D08-9E92-4E8D-88C4-E4EFFA14BAD6}">
      <text>
        <r>
          <rPr>
            <b/>
            <sz val="8"/>
            <rFont val="Tahoma"/>
            <family val="2"/>
          </rPr>
          <t>Petrol that has not been blended with biofuel (non forecourt petrol).</t>
        </r>
      </text>
    </comment>
    <comment ref="B103" authorId="0" shapeId="0" xr:uid="{89B4CDEB-CB6D-4A6F-862E-7F203B775C8F}">
      <text>
        <r>
          <rPr>
            <b/>
            <sz val="8"/>
            <rFont val="Tahoma"/>
            <family val="2"/>
          </rPr>
          <t>Waste oils meeting the 'residual' oil definition contained in the 'Processed Fuel Oil Quality Protocol'.</t>
        </r>
      </text>
    </comment>
    <comment ref="B107" authorId="0" shapeId="0" xr:uid="{DB77EE9E-2819-4AAD-AEE7-F03FB0AC0B01}">
      <text>
        <r>
          <rPr>
            <b/>
            <sz val="8"/>
            <rFont val="Tahoma"/>
            <family val="2"/>
          </rPr>
          <t>Waste oils meeting the 'distillate' oil definition contained in the 'Processed Fuel Oil Quality Protocol'.</t>
        </r>
      </text>
    </comment>
    <comment ref="B111" authorId="2" shapeId="0" xr:uid="{AF3E78BD-504E-488E-A86A-9BA1955610C5}">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8E85F2EB-9F1C-4933-8FFC-F2DCD05888A8}">
      <text>
        <r>
          <rPr>
            <b/>
            <sz val="8"/>
            <rFont val="Tahoma"/>
            <family val="2"/>
          </rPr>
          <t>Recycled oils outside of the 'Processed Fuel Oil Quality Protocol' definitions.</t>
        </r>
      </text>
    </comment>
    <comment ref="B119" authorId="0" shapeId="0" xr:uid="{1EEECD44-D90C-4BCD-94B8-90F2C8527F3B}">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DD18B6A4-70BA-4C46-B606-D1A8615075CC}">
      <text>
        <r>
          <rPr>
            <b/>
            <sz val="8"/>
            <rFont val="Tahoma"/>
            <family val="2"/>
          </rPr>
          <t>Residual fuels are called "Marine fuel oil". Residual fuel or "residuum" is the fraction that did not boil, sometimes referred to as "tar" or "petroleum pitch".</t>
        </r>
      </text>
    </comment>
    <comment ref="B131" authorId="0" shapeId="0" xr:uid="{18B2349B-10DB-4188-94FD-4724E5C08CB8}">
      <text>
        <r>
          <rPr>
            <b/>
            <sz val="8"/>
            <rFont val="Tahoma"/>
            <family val="2"/>
          </rPr>
          <t>Coal used in sources other than power stations and domestic use.</t>
        </r>
      </text>
    </comment>
    <comment ref="B134" authorId="0" shapeId="0" xr:uid="{57AFB15A-549E-41A7-995A-1B08176E122C}">
      <text>
        <r>
          <rPr>
            <b/>
            <sz val="8"/>
            <rFont val="Tahoma"/>
            <family val="2"/>
          </rPr>
          <t>Coal used in power stations to generate electricity.</t>
        </r>
      </text>
    </comment>
    <comment ref="B137" authorId="0" shapeId="0" xr:uid="{CED5A010-1C89-4F94-B360-76B9861C7D75}">
      <text>
        <r>
          <rPr>
            <b/>
            <sz val="8"/>
            <rFont val="Tahoma"/>
            <family val="2"/>
          </rPr>
          <t>Coal used domestically.</t>
        </r>
      </text>
    </comment>
    <comment ref="B140" authorId="0" shapeId="0" xr:uid="{0F941699-B791-45E2-835B-7E022A1918DD}">
      <text>
        <r>
          <rPr>
            <b/>
            <sz val="8"/>
            <rFont val="Tahoma"/>
            <family val="2"/>
          </rPr>
          <t>Coke may be used as a heating fuel and as a reducing agent in a blast furnace.</t>
        </r>
      </text>
    </comment>
    <comment ref="B143" authorId="0" shapeId="0" xr:uid="{A386FD2F-C116-41D1-9D5B-E48930C35C3C}">
      <text>
        <r>
          <rPr>
            <b/>
            <sz val="8"/>
            <rFont val="Tahoma"/>
            <family val="2"/>
          </rPr>
          <t>Normally used in cement manufacture and power plants.</t>
        </r>
      </text>
    </comment>
    <comment ref="B146" authorId="0" shapeId="0" xr:uid="{68BF9C22-849D-487A-9862-3EC39FB0039B}">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33839E45-D01B-4C65-BE5F-909DE4C4968E}">
      <text>
        <r>
          <rPr>
            <b/>
            <sz val="8"/>
            <rFont val="Tahoma"/>
            <family val="2"/>
          </rPr>
          <t>Compressed natural gas - a compressed version of the same natural gas used in homes. Stored in cylinders for use as an alternative transport fuel.</t>
        </r>
      </text>
    </comment>
    <comment ref="B31" authorId="0" shapeId="0" xr:uid="{F4C9ACCB-72CE-4993-89D6-9727E5815DC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AAB2F0BF-4E2D-4920-BC2B-0158EBBA210E}">
      <text>
        <r>
          <rPr>
            <b/>
            <sz val="8"/>
            <rFont val="Tahoma"/>
            <family val="2"/>
          </rPr>
          <t>Liquid petroleum gas - used to power cooking stoves or heaters off-grid and fuel some vehicles (such as fork-lift trucks and vans).</t>
        </r>
      </text>
    </comment>
    <comment ref="B39" authorId="0" shapeId="0" xr:uid="{E3F45DA8-57A0-415F-BC58-4359990807FB}">
      <text>
        <r>
          <rPr>
            <b/>
            <sz val="8"/>
            <rFont val="Tahoma"/>
            <family val="2"/>
          </rPr>
          <t>Standard natural gas received through the gas mains grid network in the UK. Note - contains limited biogas content.</t>
        </r>
      </text>
    </comment>
    <comment ref="B43" authorId="1" shapeId="0" xr:uid="{46FF51DC-9DEA-4079-B557-408AAA9D0555}">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E998F730-E3C2-4EF7-B78D-AD0C15A23374}">
      <text>
        <r>
          <rPr>
            <b/>
            <sz val="8"/>
            <rFont val="Tahoma"/>
            <family val="2"/>
          </rPr>
          <t>Consists mainly of ethane, plus other hydrocarbons, (excludes butane and propane).</t>
        </r>
      </text>
    </comment>
    <comment ref="B59" authorId="0" shapeId="0" xr:uid="{05916528-B4F9-4F7C-9D47-E3DF51213C3B}">
      <text>
        <r>
          <rPr>
            <b/>
            <sz val="8"/>
            <rFont val="Tahoma"/>
            <family val="2"/>
          </rPr>
          <t>Fuel for piston-engined aircraft - a high octane petrol (aka AVGAS).</t>
        </r>
      </text>
    </comment>
    <comment ref="B63" authorId="0" shapeId="0" xr:uid="{AE6ACDD3-16FE-40E4-8AAB-0CC7D8800667}">
      <text>
        <r>
          <rPr>
            <b/>
            <sz val="8"/>
            <rFont val="Tahoma"/>
            <family val="2"/>
          </rPr>
          <t>Fuel for turbo-prop aircraft and jets (aka jet fuel). Similar to kerosene used as a heating fuel, but refined to a higher quality.</t>
        </r>
      </text>
    </comment>
    <comment ref="B67" authorId="0" shapeId="0" xr:uid="{7C6FF94C-CB99-4E3D-BBF0-9AEED92C3DCA}">
      <text>
        <r>
          <rPr>
            <b/>
            <sz val="8"/>
            <rFont val="Tahoma"/>
            <family val="2"/>
          </rPr>
          <t>Main purpose is for heating/lighting on a domestic scale (also known as kerosene).</t>
        </r>
      </text>
    </comment>
    <comment ref="B71" authorId="0" shapeId="0" xr:uid="{8AC1B0F0-FE51-4076-8E7F-FB32A81A4F6A}">
      <text>
        <r>
          <rPr>
            <b/>
            <sz val="8"/>
            <rFont val="Tahoma"/>
            <family val="2"/>
          </rPr>
          <t>Standard diesel bought from any local filling station (across the board forecourt fuel typically contains biofuel content).</t>
        </r>
      </text>
    </comment>
    <comment ref="B75" authorId="0" shapeId="0" xr:uid="{F1975338-F870-4D64-BF3B-D0844B12DB4C}">
      <text>
        <r>
          <rPr>
            <b/>
            <sz val="8"/>
            <rFont val="Tahoma"/>
            <family val="2"/>
          </rPr>
          <t>Diesel that has not been blended with biofuel (non-forecourt diesel).</t>
        </r>
      </text>
    </comment>
    <comment ref="B79" authorId="0" shapeId="0" xr:uid="{5A28FCDA-3F74-4518-AAF3-25E2FBACECE4}">
      <text>
        <r>
          <rPr>
            <b/>
            <sz val="8"/>
            <rFont val="Tahoma"/>
            <family val="2"/>
          </rPr>
          <t>Heavy oil used as fuel in furnaces and boilers of power stations, in industry, for industrial heating and in ships.</t>
        </r>
      </text>
    </comment>
    <comment ref="B83" authorId="0" shapeId="0" xr:uid="{5D1917B9-695D-4A20-833C-04FAAB3EA313}">
      <text>
        <r>
          <rPr>
            <b/>
            <sz val="8"/>
            <rFont val="Tahoma"/>
            <family val="2"/>
          </rPr>
          <t>Medium oil used in diesel engines and heating systems (also known as red diesel).</t>
        </r>
      </text>
    </comment>
    <comment ref="B87" authorId="2" shapeId="0" xr:uid="{E6A2FB9C-2215-4444-9EE1-78DCE1726F9F}">
      <text>
        <r>
          <rPr>
            <b/>
            <sz val="8"/>
            <color indexed="81"/>
            <rFont val="Tahoma"/>
            <family val="2"/>
          </rPr>
          <t>Waste petroleum-based lubricating oils recovered for use as fuels</t>
        </r>
      </text>
    </comment>
    <comment ref="B91" authorId="0" shapeId="0" xr:uid="{6F374BF8-E406-405C-9444-1F4EF6E48C1B}">
      <text>
        <r>
          <rPr>
            <b/>
            <sz val="8"/>
            <rFont val="Tahoma"/>
            <family val="2"/>
          </rPr>
          <t>A product of crude oil refining - often used as a solvent.</t>
        </r>
      </text>
    </comment>
    <comment ref="B95" authorId="0" shapeId="0" xr:uid="{5D3BD49D-474E-4F2A-B6E8-052820D0283D}">
      <text>
        <r>
          <rPr>
            <b/>
            <sz val="8"/>
            <rFont val="Tahoma"/>
            <family val="2"/>
          </rPr>
          <t>Standard petrol bought from any local filling station (across the board forecourt fuel typically contains biofuel content).</t>
        </r>
      </text>
    </comment>
    <comment ref="B99" authorId="0" shapeId="0" xr:uid="{5802CE2B-E688-4835-A51D-0229C0096F98}">
      <text>
        <r>
          <rPr>
            <b/>
            <sz val="8"/>
            <rFont val="Tahoma"/>
            <family val="2"/>
          </rPr>
          <t>Petrol that has not been blended with biofuel (non forecourt petrol).</t>
        </r>
      </text>
    </comment>
    <comment ref="B103" authorId="0" shapeId="0" xr:uid="{1D37B6FF-026F-49FB-8591-11F6559F0DAD}">
      <text>
        <r>
          <rPr>
            <b/>
            <sz val="8"/>
            <rFont val="Tahoma"/>
            <family val="2"/>
          </rPr>
          <t>Waste oils meeting the 'residual' oil definition contained in the 'Processed Fuel Oil Quality Protocol'.</t>
        </r>
      </text>
    </comment>
    <comment ref="B107" authorId="0" shapeId="0" xr:uid="{113F2FDF-DA76-4D1D-BAA5-879114BBFBCC}">
      <text>
        <r>
          <rPr>
            <b/>
            <sz val="8"/>
            <rFont val="Tahoma"/>
            <family val="2"/>
          </rPr>
          <t>Waste oils meeting the 'distillate' oil definition contained in the 'Processed Fuel Oil Quality Protocol'.</t>
        </r>
      </text>
    </comment>
    <comment ref="B111" authorId="2" shapeId="0" xr:uid="{8015DD05-1BE1-4E64-AE05-6648350E1F3A}">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5572A764-5577-408B-9BE5-6B6B61406E3F}">
      <text>
        <r>
          <rPr>
            <b/>
            <sz val="8"/>
            <rFont val="Tahoma"/>
            <family val="2"/>
          </rPr>
          <t>Recycled oils outside of the 'Processed Fuel Oil Quality Protocol' definitions.</t>
        </r>
      </text>
    </comment>
    <comment ref="B119" authorId="0" shapeId="0" xr:uid="{FAC19C82-B621-4062-9C43-61D2EC489793}">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8B2F3B0E-6D23-4D9E-9446-B8DA9DB2004A}">
      <text>
        <r>
          <rPr>
            <b/>
            <sz val="8"/>
            <rFont val="Tahoma"/>
            <family val="2"/>
          </rPr>
          <t>Residual fuels are called "Marine fuel oil". Residual fuel or "residuum" is the fraction that did not boil, sometimes referred to as "tar" or "petroleum pitch".</t>
        </r>
      </text>
    </comment>
    <comment ref="B131" authorId="0" shapeId="0" xr:uid="{D31CBCE7-0BFD-4DF4-964B-F6F91C57FCFD}">
      <text>
        <r>
          <rPr>
            <b/>
            <sz val="8"/>
            <rFont val="Tahoma"/>
            <family val="2"/>
          </rPr>
          <t>Coal used in sources other than power stations and domestic use.</t>
        </r>
      </text>
    </comment>
    <comment ref="B134" authorId="0" shapeId="0" xr:uid="{DC2799D6-4F0C-4EF2-9859-737293115806}">
      <text>
        <r>
          <rPr>
            <b/>
            <sz val="8"/>
            <rFont val="Tahoma"/>
            <family val="2"/>
          </rPr>
          <t>Coal used in power stations to generate electricity.</t>
        </r>
      </text>
    </comment>
    <comment ref="B137" authorId="0" shapeId="0" xr:uid="{FA5AFA6D-C112-4973-B1EF-82C987649894}">
      <text>
        <r>
          <rPr>
            <b/>
            <sz val="8"/>
            <rFont val="Tahoma"/>
            <family val="2"/>
          </rPr>
          <t>Coal used domestically.</t>
        </r>
      </text>
    </comment>
    <comment ref="B140" authorId="0" shapeId="0" xr:uid="{57E7A4B7-ED0F-48AB-9ACF-B57680437584}">
      <text>
        <r>
          <rPr>
            <b/>
            <sz val="8"/>
            <rFont val="Tahoma"/>
            <family val="2"/>
          </rPr>
          <t>Coke may be used as a heating fuel and as a reducing agent in a blast furnace.</t>
        </r>
      </text>
    </comment>
    <comment ref="B143" authorId="0" shapeId="0" xr:uid="{19A368F7-469A-4A19-857E-8B38ED6432F9}">
      <text>
        <r>
          <rPr>
            <b/>
            <sz val="8"/>
            <rFont val="Tahoma"/>
            <family val="2"/>
          </rPr>
          <t>Normally used in cement manufacture and power plants.</t>
        </r>
      </text>
    </comment>
    <comment ref="B146" authorId="0" shapeId="0" xr:uid="{1A58FCC5-1BFB-4B59-BE69-07CC18623663}">
      <text>
        <r>
          <rPr>
            <b/>
            <sz val="8"/>
            <rFont val="Tahoma"/>
            <family val="2"/>
          </rPr>
          <t>Coal used in power stations to generate electricity (only for coal produced in the 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4" authorId="0" shapeId="0" xr:uid="{7185ABD9-89B9-460B-A3FE-C1F8EBDE7A80}">
      <text>
        <r>
          <rPr>
            <b/>
            <sz val="8"/>
            <rFont val="Tahoma"/>
            <family val="2"/>
          </rPr>
          <t>Emissions associated with the generation of electricity at a power station.  Electricity generation factors do not include transmission and distribution.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A05BD543-148D-4E81-A6C7-9D705AE1CBDF}">
      <text>
        <r>
          <rPr>
            <b/>
            <sz val="8"/>
            <rFont val="Tahoma"/>
            <family val="2"/>
          </rPr>
          <t>Emissions associated with the generation of electricity at a power station.  Electricity generation factors do not include transmission and distribution.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sharedStrings.xml><?xml version="1.0" encoding="utf-8"?>
<sst xmlns="http://schemas.openxmlformats.org/spreadsheetml/2006/main" count="1590" uniqueCount="188">
  <si>
    <t>Mar-26</t>
  </si>
  <si>
    <t>Feb-26</t>
  </si>
  <si>
    <t>Jan-26</t>
  </si>
  <si>
    <t>Dec-25</t>
  </si>
  <si>
    <t>Nov-25</t>
  </si>
  <si>
    <t>Oct-25</t>
  </si>
  <si>
    <t>Sep-25</t>
  </si>
  <si>
    <t>Aug-25</t>
  </si>
  <si>
    <t>Jul-25</t>
  </si>
  <si>
    <t>Jun-25</t>
  </si>
  <si>
    <t>May-25</t>
  </si>
  <si>
    <t>Apr-25</t>
  </si>
  <si>
    <t>Mar-25</t>
  </si>
  <si>
    <t>Feb-25</t>
  </si>
  <si>
    <t>Jan-25</t>
  </si>
  <si>
    <t>Dec-24</t>
  </si>
  <si>
    <t>Nov-24</t>
  </si>
  <si>
    <t>Oct-24</t>
  </si>
  <si>
    <t>Sep-24</t>
  </si>
  <si>
    <t>Aug-24</t>
  </si>
  <si>
    <t>Jul-24</t>
  </si>
  <si>
    <t>Jun-24</t>
  </si>
  <si>
    <t>May-24</t>
  </si>
  <si>
    <t>Apr-24</t>
  </si>
  <si>
    <t>Mar-24</t>
  </si>
  <si>
    <t>Feb-24</t>
  </si>
  <si>
    <t>Jan-24</t>
  </si>
  <si>
    <t>Dec-23</t>
  </si>
  <si>
    <t>Nov-23</t>
  </si>
  <si>
    <t>Oct-23</t>
  </si>
  <si>
    <t>Sep-23</t>
  </si>
  <si>
    <t>Aug-23</t>
  </si>
  <si>
    <t>Jul-23</t>
  </si>
  <si>
    <t>Jun-23</t>
  </si>
  <si>
    <t>May-23</t>
  </si>
  <si>
    <t>Apr-23</t>
  </si>
  <si>
    <t>Gas (kWh)</t>
  </si>
  <si>
    <t>Electricity (kWh)</t>
  </si>
  <si>
    <t>Date</t>
  </si>
  <si>
    <t>Site Name</t>
  </si>
  <si>
    <t>Site D</t>
  </si>
  <si>
    <t>Site C</t>
  </si>
  <si>
    <t>Site B</t>
  </si>
  <si>
    <t>Site A</t>
  </si>
  <si>
    <t>Month</t>
  </si>
  <si>
    <t>Site</t>
  </si>
  <si>
    <t>Electricity (tCO2e)</t>
  </si>
  <si>
    <t>Gas (tCO2e)</t>
  </si>
  <si>
    <t>Electricity Spend (£)</t>
  </si>
  <si>
    <t>Gas Spend (£)</t>
  </si>
  <si>
    <t>Reporting Year</t>
  </si>
  <si>
    <t>Electricity</t>
  </si>
  <si>
    <t>Natural Gas</t>
  </si>
  <si>
    <t>2023/24</t>
  </si>
  <si>
    <t>2024/25</t>
  </si>
  <si>
    <t>2025/26</t>
  </si>
  <si>
    <t>Resource</t>
  </si>
  <si>
    <t>tCO2e / kWh</t>
  </si>
  <si>
    <t>UK Government GHG Conversion Factors for Company Reporting</t>
  </si>
  <si>
    <t>Fuels</t>
  </si>
  <si>
    <t>Index</t>
  </si>
  <si>
    <t>Emissions source:</t>
  </si>
  <si>
    <t xml:space="preserve">Next publication date: </t>
  </si>
  <si>
    <t>Factor set:</t>
  </si>
  <si>
    <t>Condensed set</t>
  </si>
  <si>
    <t>Scope:</t>
  </si>
  <si>
    <t>Scope 1</t>
  </si>
  <si>
    <t>Version:</t>
  </si>
  <si>
    <t>Year:</t>
  </si>
  <si>
    <t>Fuels conversion factors should be used for primary fuel sources combusted at a site or in an asset owned or controlled by the reporting organisation.</t>
  </si>
  <si>
    <t>Guidance</t>
  </si>
  <si>
    <t>● Gross calorific value (CV)/ net CV basis - Organisations should determine whether to use the net or gross calorific value of fuels according to their data. For example, the majority of energy billing is provided on a gross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</si>
  <si>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</si>
  <si>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Aptos Narrow"/>
        <family val="2"/>
        <scheme val="minor"/>
      </rPr>
      <t>2</t>
    </r>
    <r>
      <rPr>
        <sz val="11"/>
        <color rgb="FF053D5F"/>
        <rFont val="Aptos Narrow"/>
        <family val="2"/>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</si>
  <si>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</si>
  <si>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</si>
  <si>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</si>
  <si>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</si>
  <si>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For example, the majority of energy billing is provided on a gross CV basis.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</si>
  <si>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</si>
  <si>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</si>
  <si>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Activity</t>
  </si>
  <si>
    <t>Fuel</t>
  </si>
  <si>
    <t>Unit</t>
  </si>
  <si>
    <r>
      <t>kg CO</t>
    </r>
    <r>
      <rPr>
        <vertAlign val="subscript"/>
        <sz val="11"/>
        <color indexed="56"/>
        <rFont val="Calibri"/>
        <family val="2"/>
      </rPr>
      <t>2</t>
    </r>
    <r>
      <rPr>
        <sz val="11"/>
        <color indexed="56"/>
        <rFont val="Calibri"/>
        <family val="2"/>
      </rPr>
      <t>e</t>
    </r>
  </si>
  <si>
    <r>
      <t>kg CO</t>
    </r>
    <r>
      <rPr>
        <vertAlign val="subscript"/>
        <sz val="11"/>
        <color rgb="FF002060"/>
        <rFont val="Aptos Narrow"/>
        <family val="2"/>
        <scheme val="minor"/>
      </rPr>
      <t>2</t>
    </r>
    <r>
      <rPr>
        <sz val="11"/>
        <color rgb="FF002060"/>
        <rFont val="Aptos Narrow"/>
        <family val="2"/>
        <scheme val="minor"/>
      </rPr>
      <t>e of CO</t>
    </r>
    <r>
      <rPr>
        <vertAlign val="subscript"/>
        <sz val="11"/>
        <color rgb="FF002060"/>
        <rFont val="Aptos Narrow"/>
        <family val="2"/>
        <scheme val="minor"/>
      </rPr>
      <t>2</t>
    </r>
    <r>
      <rPr>
        <sz val="11"/>
        <color rgb="FF002060"/>
        <rFont val="Aptos Narrow"/>
        <family val="2"/>
        <scheme val="minor"/>
      </rPr>
      <t xml:space="preserve"> per unit</t>
    </r>
  </si>
  <si>
    <r>
      <t>kg CO</t>
    </r>
    <r>
      <rPr>
        <vertAlign val="subscript"/>
        <sz val="11"/>
        <color rgb="FF002060"/>
        <rFont val="Aptos Narrow"/>
        <family val="2"/>
        <scheme val="minor"/>
      </rPr>
      <t>2</t>
    </r>
    <r>
      <rPr>
        <sz val="11"/>
        <color rgb="FF002060"/>
        <rFont val="Aptos Narrow"/>
        <family val="2"/>
        <scheme val="minor"/>
      </rPr>
      <t>e of CH</t>
    </r>
    <r>
      <rPr>
        <vertAlign val="subscript"/>
        <sz val="11"/>
        <color rgb="FF002060"/>
        <rFont val="Aptos Narrow"/>
        <family val="2"/>
        <scheme val="minor"/>
      </rPr>
      <t>4</t>
    </r>
    <r>
      <rPr>
        <sz val="11"/>
        <color rgb="FF002060"/>
        <rFont val="Aptos Narrow"/>
        <family val="2"/>
        <scheme val="minor"/>
      </rPr>
      <t xml:space="preserve"> per unit</t>
    </r>
  </si>
  <si>
    <r>
      <t>kg CO</t>
    </r>
    <r>
      <rPr>
        <vertAlign val="subscript"/>
        <sz val="11"/>
        <color rgb="FF002060"/>
        <rFont val="Aptos Narrow"/>
        <family val="2"/>
        <scheme val="minor"/>
      </rPr>
      <t>2</t>
    </r>
    <r>
      <rPr>
        <sz val="11"/>
        <color rgb="FF002060"/>
        <rFont val="Aptos Narrow"/>
        <family val="2"/>
        <scheme val="minor"/>
      </rPr>
      <t>e of N</t>
    </r>
    <r>
      <rPr>
        <vertAlign val="subscript"/>
        <sz val="11"/>
        <color rgb="FF002060"/>
        <rFont val="Aptos Narrow"/>
        <family val="2"/>
        <scheme val="minor"/>
      </rPr>
      <t>2</t>
    </r>
    <r>
      <rPr>
        <sz val="11"/>
        <color rgb="FF002060"/>
        <rFont val="Aptos Narrow"/>
        <family val="2"/>
        <scheme val="minor"/>
      </rPr>
      <t>O per unit</t>
    </r>
  </si>
  <si>
    <t>Gaseous fuels</t>
  </si>
  <si>
    <t>Butane</t>
  </si>
  <si>
    <t>tonnes</t>
  </si>
  <si>
    <t>litres</t>
  </si>
  <si>
    <t>kWh (Net CV)</t>
  </si>
  <si>
    <t>kWh (Gross CV)</t>
  </si>
  <si>
    <t>CNG</t>
  </si>
  <si>
    <t>LNG</t>
  </si>
  <si>
    <t>LPG</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</si>
  <si>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</si>
  <si>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</si>
  <si>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</si>
  <si>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</si>
  <si>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</si>
  <si>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</si>
  <si>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</si>
  <si>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</si>
  <si>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</si>
  <si>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</si>
  <si>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</si>
  <si>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</si>
  <si>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</si>
  <si>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</si>
  <si>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</si>
  <si>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</si>
  <si>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</si>
  <si>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</si>
  <si>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</si>
  <si>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</si>
  <si>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</si>
  <si>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</si>
  <si>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</si>
  <si>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</si>
  <si>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</si>
  <si>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</si>
  <si>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</si>
  <si>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</si>
  <si>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</si>
  <si>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</si>
  <si>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</si>
  <si>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</si>
  <si>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</si>
  <si>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</si>
  <si>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</si>
  <si>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</si>
  <si>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</si>
  <si>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The aviation fuel factors currently only account for the direct effect of CO</t>
    </r>
    <r>
      <rPr>
        <vertAlign val="subscript"/>
        <sz val="11"/>
        <color indexed="56"/>
        <rFont val="Calibri"/>
        <family val="2"/>
      </rPr>
      <t>2</t>
    </r>
    <r>
      <rPr>
        <sz val="11"/>
        <color indexed="56"/>
        <rFont val="Calibri"/>
        <family val="2"/>
      </rPr>
      <t>, CH</t>
    </r>
    <r>
      <rPr>
        <vertAlign val="subscript"/>
        <sz val="11"/>
        <color indexed="56"/>
        <rFont val="Calibri"/>
        <family val="2"/>
      </rPr>
      <t xml:space="preserve">4 </t>
    </r>
    <r>
      <rPr>
        <sz val="11"/>
        <color indexed="56"/>
        <rFont val="Calibri"/>
        <family val="2"/>
      </rPr>
      <t>and N</t>
    </r>
    <r>
      <rPr>
        <vertAlign val="subscript"/>
        <sz val="11"/>
        <color indexed="56"/>
        <rFont val="Calibri"/>
        <family val="2"/>
      </rPr>
      <t>2</t>
    </r>
    <r>
      <rPr>
        <sz val="11"/>
        <color indexed="56"/>
        <rFont val="Calibri"/>
        <family val="2"/>
      </rPr>
      <t>O emissions. Organisations should include the indirect effects of non-CO</t>
    </r>
    <r>
      <rPr>
        <vertAlign val="subscript"/>
        <sz val="11"/>
        <color indexed="56"/>
        <rFont val="Calibri"/>
        <family val="2"/>
      </rPr>
      <t>2</t>
    </r>
    <r>
      <rPr>
        <sz val="11"/>
        <color indexed="56"/>
        <rFont val="Calibri"/>
        <family val="2"/>
      </rPr>
      <t xml:space="preserve"> emissions when reporting air travel emissions to capture the full climate impact of their travel, as indicated in the ‘Business travel- air’ tab. To do this, it is recommended that a multiplier of 1.7 is applied to the CO</t>
    </r>
    <r>
      <rPr>
        <vertAlign val="subscript"/>
        <sz val="11"/>
        <color indexed="56"/>
        <rFont val="Calibri"/>
        <family val="2"/>
      </rPr>
      <t xml:space="preserve">2 </t>
    </r>
    <r>
      <rPr>
        <sz val="11"/>
        <color indexed="56"/>
        <rFont val="Calibri"/>
        <family val="2"/>
      </rPr>
      <t>component only of the direct emissions from aviation, and then summed with the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direct emissions to calculate total kgCO</t>
    </r>
    <r>
      <rPr>
        <vertAlign val="subscript"/>
        <sz val="11"/>
        <color indexed="56"/>
        <rFont val="Calibri"/>
        <family val="2"/>
      </rPr>
      <t>2</t>
    </r>
    <r>
      <rPr>
        <sz val="11"/>
        <color indexed="56"/>
        <rFont val="Calibri"/>
        <family val="2"/>
      </rPr>
      <t>e (including direct and indirect effects). Further information can be found in the ‘Business travel- air’ tab and the air transport section of the Methodology Paper.
The effects of radiative forcing are not considered to be significant for fuels used in other forms of transport. They may even be negative for shipping due to the high sulphur content of fuels used.</t>
    </r>
  </si>
  <si>
    <t>For information about how the conversion factors have been derived, please refer to the 'Methodology paper' that accompanies the conversion factors.</t>
  </si>
  <si>
    <t>UK electricity</t>
  </si>
  <si>
    <t>Scope 2</t>
  </si>
  <si>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</si>
  <si>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</si>
  <si>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</si>
  <si>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</si>
  <si>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</si>
  <si>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</si>
  <si>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Why has the electricity factor changed?</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</si>
  <si>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Aptos Narrow"/>
        <family val="2"/>
        <scheme val="minor"/>
      </rPr>
      <t>2</t>
    </r>
    <r>
      <rPr>
        <sz val="11"/>
        <color rgb="FF002060"/>
        <rFont val="Aptos Narrow"/>
        <family val="2"/>
        <scheme val="minor"/>
      </rPr>
      <t>e factor compared to the previous year. In the 2020 update, the CO</t>
    </r>
    <r>
      <rPr>
        <vertAlign val="subscript"/>
        <sz val="11"/>
        <color rgb="FF002060"/>
        <rFont val="Aptos Narrow"/>
        <family val="2"/>
        <scheme val="minor"/>
      </rPr>
      <t>2</t>
    </r>
    <r>
      <rPr>
        <sz val="11"/>
        <color rgb="FF002060"/>
        <rFont val="Aptos Narrow"/>
        <family val="2"/>
        <scheme val="minor"/>
      </rPr>
      <t>e factor decreased (compared with 2019) again by 9%. In the 2021 update, the CO</t>
    </r>
    <r>
      <rPr>
        <vertAlign val="subscript"/>
        <sz val="11"/>
        <color rgb="FF002060"/>
        <rFont val="Aptos Narrow"/>
        <family val="2"/>
        <scheme val="minor"/>
      </rPr>
      <t>2</t>
    </r>
    <r>
      <rPr>
        <sz val="11"/>
        <color rgb="FF002060"/>
        <rFont val="Aptos Narrow"/>
        <family val="2"/>
        <scheme val="minor"/>
      </rPr>
      <t>e factor again decreased by 9% (in comparison to the 2020 update). The above decreases are all due to a decrease in coal use in electricity generation and an increase in renewable generation.
In the 2023 update, the UK Electricity CO</t>
    </r>
    <r>
      <rPr>
        <vertAlign val="subscript"/>
        <sz val="11"/>
        <color rgb="FF002060"/>
        <rFont val="Aptos Narrow"/>
        <family val="2"/>
        <scheme val="minor"/>
      </rPr>
      <t>2</t>
    </r>
    <r>
      <rPr>
        <sz val="11"/>
        <color rgb="FF002060"/>
        <rFont val="Aptos Narrow"/>
        <family val="2"/>
        <scheme val="minor"/>
      </rPr>
      <t>e factor has increased by 7% (compared to the 2022 update) due to an increase in natural gas use in electricity generation and a decrease in renewable generation.</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</si>
  <si>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</si>
  <si>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</si>
  <si>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</si>
  <si>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</si>
  <si>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</si>
  <si>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</si>
  <si>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</si>
  <si>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t>kWh</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</si>
  <si>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</si>
  <si>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</si>
  <si>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</si>
  <si>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</si>
  <si>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</si>
  <si>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</si>
  <si>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t>The aviation fuel factors currently only account for the direct effect of CO</t>
    </r>
    <r>
      <rPr>
        <vertAlign val="subscript"/>
        <sz val="11"/>
        <color rgb="FF053D5F"/>
        <rFont val="Aptos Narrow"/>
        <family val="2"/>
        <scheme val="minor"/>
      </rPr>
      <t>2</t>
    </r>
    <r>
      <rPr>
        <sz val="11"/>
        <color rgb="FF053D5F"/>
        <rFont val="Aptos Narrow"/>
        <family val="2"/>
        <scheme val="minor"/>
      </rPr>
      <t>, CH</t>
    </r>
    <r>
      <rPr>
        <vertAlign val="subscript"/>
        <sz val="11"/>
        <color rgb="FF053D5F"/>
        <rFont val="Aptos Narrow"/>
        <family val="2"/>
        <scheme val="minor"/>
      </rPr>
      <t>4</t>
    </r>
    <r>
      <rPr>
        <sz val="11"/>
        <color rgb="FF053D5F"/>
        <rFont val="Aptos Narrow"/>
        <family val="2"/>
        <scheme val="minor"/>
      </rPr>
      <t xml:space="preserve"> and N</t>
    </r>
    <r>
      <rPr>
        <vertAlign val="subscript"/>
        <sz val="11"/>
        <color rgb="FF053D5F"/>
        <rFont val="Aptos Narrow"/>
        <family val="2"/>
        <scheme val="minor"/>
      </rPr>
      <t>2</t>
    </r>
    <r>
      <rPr>
        <sz val="11"/>
        <color rgb="FF053D5F"/>
        <rFont val="Aptos Narrow"/>
        <family val="2"/>
        <scheme val="minor"/>
      </rPr>
      <t>O emissions. Organisations should include the indirect effects of non-CO</t>
    </r>
    <r>
      <rPr>
        <vertAlign val="subscript"/>
        <sz val="11"/>
        <color rgb="FF053D5F"/>
        <rFont val="Aptos Narrow"/>
        <family val="2"/>
        <scheme val="minor"/>
      </rPr>
      <t>2</t>
    </r>
    <r>
      <rPr>
        <sz val="11"/>
        <color rgb="FF053D5F"/>
        <rFont val="Aptos Narrow"/>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Aptos Narrow"/>
        <family val="2"/>
        <scheme val="minor"/>
      </rPr>
      <t>2</t>
    </r>
    <r>
      <rPr>
        <sz val="11"/>
        <color rgb="FF053D5F"/>
        <rFont val="Aptos Narrow"/>
        <family val="2"/>
        <scheme val="minor"/>
      </rPr>
      <t xml:space="preserve"> component only of the direct emissions from aviation, and then summed with the CH</t>
    </r>
    <r>
      <rPr>
        <vertAlign val="subscript"/>
        <sz val="11"/>
        <color rgb="FF053D5F"/>
        <rFont val="Aptos Narrow"/>
        <family val="2"/>
        <scheme val="minor"/>
      </rPr>
      <t>4</t>
    </r>
    <r>
      <rPr>
        <sz val="11"/>
        <color rgb="FF053D5F"/>
        <rFont val="Aptos Narrow"/>
        <family val="2"/>
        <scheme val="minor"/>
      </rPr>
      <t xml:space="preserve"> and N</t>
    </r>
    <r>
      <rPr>
        <vertAlign val="subscript"/>
        <sz val="11"/>
        <color rgb="FF053D5F"/>
        <rFont val="Aptos Narrow"/>
        <family val="2"/>
        <scheme val="minor"/>
      </rPr>
      <t>2</t>
    </r>
    <r>
      <rPr>
        <sz val="11"/>
        <color rgb="FF053D5F"/>
        <rFont val="Aptos Narrow"/>
        <family val="2"/>
        <scheme val="minor"/>
      </rPr>
      <t>O direct emissions to calculate total kgCO</t>
    </r>
    <r>
      <rPr>
        <vertAlign val="subscript"/>
        <sz val="11"/>
        <color rgb="FF053D5F"/>
        <rFont val="Aptos Narrow"/>
        <family val="2"/>
        <scheme val="minor"/>
      </rPr>
      <t>2</t>
    </r>
    <r>
      <rPr>
        <sz val="11"/>
        <color rgb="FF053D5F"/>
        <rFont val="Aptos Narrow"/>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</si>
  <si>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t>● Where electricity is onsite generated from a renewable source such as PV then the kWh should be reported under scope 1 with 0 emissions for both the electricity fuel source and 0 emissions for the T&amp;D value.</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</si>
  <si>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Aptos Narrow"/>
        <family val="2"/>
        <scheme val="minor"/>
      </rPr>
      <t>2</t>
    </r>
    <r>
      <rPr>
        <sz val="11"/>
        <color rgb="FF002060"/>
        <rFont val="Aptos Narrow"/>
        <family val="2"/>
        <scheme val="minor"/>
      </rPr>
      <t>e factor compared to the previous year. In the 2020 update, the CO</t>
    </r>
    <r>
      <rPr>
        <vertAlign val="subscript"/>
        <sz val="11"/>
        <color rgb="FF002060"/>
        <rFont val="Aptos Narrow"/>
        <family val="2"/>
        <scheme val="minor"/>
      </rPr>
      <t>2</t>
    </r>
    <r>
      <rPr>
        <sz val="11"/>
        <color rgb="FF002060"/>
        <rFont val="Aptos Narrow"/>
        <family val="2"/>
        <scheme val="minor"/>
      </rPr>
      <t>e factor decreased (compared with 2019) again by 9%. In the 2021 update, the CO</t>
    </r>
    <r>
      <rPr>
        <vertAlign val="subscript"/>
        <sz val="11"/>
        <color rgb="FF002060"/>
        <rFont val="Aptos Narrow"/>
        <family val="2"/>
        <scheme val="minor"/>
      </rPr>
      <t>2</t>
    </r>
    <r>
      <rPr>
        <sz val="11"/>
        <color rgb="FF002060"/>
        <rFont val="Aptos Narrow"/>
        <family val="2"/>
        <scheme val="minor"/>
      </rPr>
      <t>e factor again decreased by 9% (in comparison to the 2020 update). The above decreases are all due to a decrease in coal use in electricity generation and an increase in renewable generation.
In the 2024 update, the UK Electricity CO</t>
    </r>
    <r>
      <rPr>
        <vertAlign val="subscript"/>
        <sz val="11"/>
        <color rgb="FF002060"/>
        <rFont val="Aptos Narrow"/>
        <family val="2"/>
        <scheme val="minor"/>
      </rPr>
      <t>2</t>
    </r>
    <r>
      <rPr>
        <sz val="11"/>
        <color rgb="FF002060"/>
        <rFont val="Aptos Narrow"/>
        <family val="2"/>
        <scheme val="minor"/>
      </rPr>
      <t>e factor has remained at a similar level to 2023 update.</t>
    </r>
  </si>
  <si>
    <r>
      <t>●  If any fuel type or unit has no result in the table, this is an indication the conversion factor is not available or does not exist.
● Users of the aviation turbine fuel or aviation spirit factors may need to apply a 1.7 multiplier to the CO</t>
    </r>
    <r>
      <rPr>
        <vertAlign val="subscript"/>
        <sz val="11"/>
        <color rgb="FF053D5F"/>
        <rFont val="Aptos Narrow"/>
        <family val="2"/>
        <scheme val="minor"/>
      </rPr>
      <t>2</t>
    </r>
    <r>
      <rPr>
        <sz val="11"/>
        <color rgb="FF053D5F"/>
        <rFont val="Aptos Narrow"/>
        <family val="2"/>
        <scheme val="minor"/>
      </rPr>
      <t xml:space="preserve"> factor to account for the radiative forcing effects of emissions at altitude. Further explanation of this is provided in the Conversion Factors Methodology Paper.</t>
    </r>
  </si>
  <si>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 Net CV or lower heating value (LHV) is the useful calorific value in typical real world conditions (e.g. boiler plant or transportation). The difference is essentially the latent heat of the water vapour produced (which can be recovered in laboratory or sealed conditions).
It is recommended to apply a consistent calorific value (CV) basis across all energy sources. Where natural gas consumption data is available in kWh, using it directly can help to avoid conversion errors and decisions around CV basis. Where data is only available in cubic metres (m³), users may wish to use Net CV to convert to kWh for consistency with other factors in this set, many of which are only published on a Net CV basis.</t>
  </si>
  <si>
    <t>June 2026</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</si>
  <si>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Aptos Narrow"/>
        <family val="2"/>
        <scheme val="minor"/>
      </rPr>
      <t>2</t>
    </r>
    <r>
      <rPr>
        <sz val="11"/>
        <color rgb="FF002060"/>
        <rFont val="Aptos Narrow"/>
        <family val="2"/>
        <scheme val="minor"/>
      </rPr>
      <t>e factor compared to the previous year. In the 2020 update, the CO</t>
    </r>
    <r>
      <rPr>
        <vertAlign val="subscript"/>
        <sz val="11"/>
        <color rgb="FF002060"/>
        <rFont val="Aptos Narrow"/>
        <family val="2"/>
        <scheme val="minor"/>
      </rPr>
      <t>2</t>
    </r>
    <r>
      <rPr>
        <sz val="11"/>
        <color rgb="FF002060"/>
        <rFont val="Aptos Narrow"/>
        <family val="2"/>
        <scheme val="minor"/>
      </rPr>
      <t>e factor decreased (compared with 2019) again by 9%. In the 2021 update, the CO</t>
    </r>
    <r>
      <rPr>
        <vertAlign val="subscript"/>
        <sz val="11"/>
        <color rgb="FF002060"/>
        <rFont val="Aptos Narrow"/>
        <family val="2"/>
        <scheme val="minor"/>
      </rPr>
      <t>2</t>
    </r>
    <r>
      <rPr>
        <sz val="11"/>
        <color rgb="FF002060"/>
        <rFont val="Aptos Narrow"/>
        <family val="2"/>
        <scheme val="minor"/>
      </rPr>
      <t>e factor again decreased by 9% (in comparison to the 2020 update). The above decreases are all due to a decrease in coal use in electricity generation and an increase in renewable generation.
In the 2025 update, the UK Electricity CO</t>
    </r>
    <r>
      <rPr>
        <vertAlign val="subscript"/>
        <sz val="11"/>
        <color rgb="FF002060"/>
        <rFont val="Aptos Narrow"/>
        <family val="2"/>
        <scheme val="minor"/>
      </rPr>
      <t>2</t>
    </r>
    <r>
      <rPr>
        <sz val="11"/>
        <color rgb="FF002060"/>
        <rFont val="Aptos Narrow"/>
        <family val="2"/>
        <scheme val="minor"/>
      </rPr>
      <t>e factor has reduced by approximately 15% since 2024. The decrease is due to less natural gas use in power stations, an increase in renewable energy, and an increase in net imports of relatively low carbon electricity.</t>
    </r>
  </si>
  <si>
    <t>● Organisations seeking to account for the biogenic CO2 emissions of the electricity they purchase, which come from the combustion of biomass in power stations, should do so using the 'Outside of Scopes' factor for UK electricity.</t>
  </si>
  <si>
    <t>GHG Conversion Factors</t>
  </si>
  <si>
    <t>£ / kWh</t>
  </si>
  <si>
    <t>Financial factors</t>
  </si>
  <si>
    <t>% Estimated</t>
  </si>
  <si>
    <t>HDD 18.5</t>
  </si>
  <si>
    <t>Month starting</t>
  </si>
  <si>
    <t>EGLC</t>
  </si>
  <si>
    <t>Station ID:</t>
  </si>
  <si>
    <t>London City Airport (0.06E,51.51N)</t>
  </si>
  <si>
    <t>Station:</t>
  </si>
  <si>
    <t>Estimates were made to account for missing data: the "% Estimated" column shows how much each figure was affected (0% is best, 100% is worst)</t>
  </si>
  <si>
    <t>Accuracy:</t>
  </si>
  <si>
    <t>www.degreedays.net</t>
  </si>
  <si>
    <t>Source:</t>
  </si>
  <si>
    <t>Celsius-based heating degree days with a base temperature of 18.5 C</t>
  </si>
  <si>
    <t>Description:</t>
  </si>
  <si>
    <t>Financial Year</t>
  </si>
  <si>
    <t>FY23/24</t>
  </si>
  <si>
    <t>FY24/25</t>
  </si>
  <si>
    <t>FY25/26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</si>
</sst>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0"/>
    <numFmt numFmtId="165" formatCode="_(* #,##0.00_);_(* \(#,##0.00\);_(* &quot;-&quot;??_);_(@_)"/>
    <numFmt numFmtId="166" formatCode="_-* #,##0_-;\-* #,##0_-;_-* &quot;-&quot;??_-;_-@_-"/>
    <numFmt numFmtId="167" formatCode="??0.00"/>
    <numFmt numFmtId="168" formatCode="??0.00000"/>
    <numFmt numFmtId="169" formatCode="??0.0?????"/>
    <numFmt numFmtId="170" formatCode="0.00000"/>
    <numFmt numFmtId="171" formatCode="0.000000000"/>
    <numFmt numFmtId="172" formatCode="_-* #,##0.0000000_-;\-* #,##0.0000000_-;_-* &quot;-&quot;??_-;_-@_-"/>
  </numFmts>
  <fonts count="51" x14ac:knownFonts="1">
    <font>
      <sz val="11"/>
      <color theme="1"/>
      <name val="Aptos Narrow"/>
      <family val="2"/>
      <scheme val="minor"/>
    </font>
    <font>
      <b/>
      <sz val="11"/>
      <color rgb="FFFFFFFF"/>
      <name val="Calibri"/>
    </font>
    <font>
      <sz val="11"/>
      <color theme="1"/>
      <name val="Aptos Narrow"/>
      <family val="2"/>
      <charset val="1"/>
    </font>
    <font>
      <b/>
      <sz val="11"/>
      <color rgb="FFFFFFFF"/>
      <name val="Arial"/>
      <charset val="1"/>
    </font>
    <font>
      <sz val="10"/>
      <name val="Arial"/>
      <charset val="1"/>
    </font>
    <font>
      <sz val="11"/>
      <color theme="1"/>
      <name val="Aptos Narrow"/>
      <family val="2"/>
      <scheme val="minor"/>
    </font>
    <font>
      <sz val="11"/>
      <color rgb="FFFF0000"/>
      <name val="Aptos Narrow"/>
      <family val="2"/>
      <scheme val="minor"/>
    </font>
    <font>
      <b/>
      <sz val="11"/>
      <color theme="1"/>
      <name val="Aptos Narrow"/>
      <family val="2"/>
      <scheme val="minor"/>
    </font>
    <font>
      <sz val="10"/>
      <color theme="1"/>
      <name val="Arial"/>
      <family val="2"/>
    </font>
    <font>
      <i/>
      <sz val="8"/>
      <name val="Aptos Narrow"/>
      <family val="2"/>
      <scheme val="minor"/>
    </font>
    <font>
      <b/>
      <sz val="16"/>
      <name val="Aptos Narrow"/>
      <family val="2"/>
      <scheme val="minor"/>
    </font>
    <font>
      <u/>
      <sz val="11"/>
      <color indexed="12"/>
      <name val="Calibri"/>
      <family val="2"/>
    </font>
    <font>
      <u/>
      <sz val="10"/>
      <color theme="10"/>
      <name val="Calibri"/>
      <family val="2"/>
    </font>
    <font>
      <sz val="4"/>
      <color theme="1"/>
      <name val="Aptos Narrow"/>
      <family val="2"/>
      <scheme val="minor"/>
    </font>
    <font>
      <sz val="4"/>
      <color theme="1"/>
      <name val="Arial"/>
      <family val="2"/>
    </font>
    <font>
      <b/>
      <sz val="10"/>
      <color rgb="FF053D5F"/>
      <name val="Aptos Narrow"/>
      <family val="2"/>
      <scheme val="minor"/>
    </font>
    <font>
      <sz val="10"/>
      <color rgb="FF053D5F"/>
      <name val="Aptos Narrow"/>
      <family val="2"/>
      <scheme val="minor"/>
    </font>
    <font>
      <b/>
      <sz val="11"/>
      <color rgb="FF053D5F"/>
      <name val="Aptos Narrow"/>
      <family val="2"/>
      <scheme val="minor"/>
    </font>
    <font>
      <sz val="11"/>
      <color rgb="FF053D5F"/>
      <name val="Aptos Narrow"/>
      <family val="2"/>
      <scheme val="minor"/>
    </font>
    <font>
      <b/>
      <u/>
      <sz val="12"/>
      <color rgb="FF053D5F"/>
      <name val="Aptos Narrow"/>
      <family val="2"/>
      <scheme val="minor"/>
    </font>
    <font>
      <u/>
      <sz val="11"/>
      <color indexed="30"/>
      <name val="Calibri"/>
      <family val="2"/>
    </font>
    <font>
      <sz val="11"/>
      <color indexed="56"/>
      <name val="Calibri"/>
      <family val="2"/>
    </font>
    <font>
      <vertAlign val="subscript"/>
      <sz val="11"/>
      <color rgb="FF053D5F"/>
      <name val="Aptos Narrow"/>
      <family val="2"/>
      <scheme val="minor"/>
    </font>
    <font>
      <b/>
      <u/>
      <sz val="12"/>
      <color indexed="56"/>
      <name val="Calibri"/>
      <family val="2"/>
    </font>
    <font>
      <sz val="12"/>
      <color rgb="FF053D5F"/>
      <name val="Aptos Narrow"/>
      <family val="2"/>
      <scheme val="minor"/>
    </font>
    <font>
      <vertAlign val="subscript"/>
      <sz val="11"/>
      <color indexed="56"/>
      <name val="Calibri"/>
      <family val="2"/>
    </font>
    <font>
      <i/>
      <sz val="11"/>
      <color indexed="56"/>
      <name val="Calibri"/>
      <family val="2"/>
    </font>
    <font>
      <u/>
      <sz val="11"/>
      <color rgb="FF002060"/>
      <name val="Calibri"/>
      <family val="2"/>
    </font>
    <font>
      <sz val="11"/>
      <color rgb="FF002060"/>
      <name val="Aptos Narrow"/>
      <family val="2"/>
      <scheme val="minor"/>
    </font>
    <font>
      <vertAlign val="subscript"/>
      <sz val="11"/>
      <color rgb="FF002060"/>
      <name val="Aptos Narrow"/>
      <family val="2"/>
      <scheme val="minor"/>
    </font>
    <font>
      <i/>
      <sz val="11"/>
      <color rgb="FF053D5F"/>
      <name val="Aptos Narrow"/>
      <family val="2"/>
      <scheme val="minor"/>
    </font>
    <font>
      <b/>
      <u/>
      <sz val="12"/>
      <color rgb="FF002060"/>
      <name val="Aptos Narrow"/>
      <family val="2"/>
      <scheme val="minor"/>
    </font>
    <font>
      <sz val="11"/>
      <color theme="4" tint="-0.499984740745262"/>
      <name val="Calibri"/>
      <family val="2"/>
    </font>
    <font>
      <b/>
      <sz val="11"/>
      <color indexed="62"/>
      <name val="Calibri"/>
      <family val="2"/>
    </font>
    <font>
      <b/>
      <u/>
      <sz val="11"/>
      <color indexed="62"/>
      <name val="Calibri"/>
      <family val="2"/>
    </font>
    <font>
      <b/>
      <u/>
      <sz val="11"/>
      <color indexed="12"/>
      <name val="Calibri"/>
      <family val="2"/>
    </font>
    <font>
      <sz val="11"/>
      <color indexed="62"/>
      <name val="Calibri"/>
      <family val="2"/>
    </font>
    <font>
      <sz val="11"/>
      <color theme="4" tint="-0.499984740745262"/>
      <name val="Aptos Narrow"/>
      <family val="2"/>
      <scheme val="minor"/>
    </font>
    <font>
      <vertAlign val="subscript"/>
      <sz val="11"/>
      <color rgb="FF003366"/>
      <name val="Calibri"/>
      <family val="2"/>
    </font>
    <font>
      <b/>
      <vertAlign val="subscript"/>
      <sz val="11"/>
      <color indexed="56"/>
      <name val="Calibri"/>
      <family val="2"/>
    </font>
    <font>
      <b/>
      <sz val="11"/>
      <color indexed="56"/>
      <name val="Calibri"/>
      <family val="2"/>
    </font>
    <font>
      <b/>
      <i/>
      <sz val="11"/>
      <color theme="4" tint="-0.499984740745262"/>
      <name val="Aptos Narrow"/>
      <family val="2"/>
      <scheme val="minor"/>
    </font>
    <font>
      <b/>
      <sz val="8"/>
      <name val="Tahoma"/>
      <family val="2"/>
    </font>
    <font>
      <b/>
      <sz val="9"/>
      <color indexed="81"/>
      <name val="Tahoma"/>
      <family val="2"/>
    </font>
    <font>
      <b/>
      <sz val="8"/>
      <color indexed="81"/>
      <name val="Tahoma"/>
      <family val="2"/>
    </font>
    <font>
      <sz val="9"/>
      <color indexed="81"/>
      <name val="Tahoma"/>
      <family val="2"/>
    </font>
    <font>
      <sz val="4"/>
      <color rgb="FF053D5F"/>
      <name val="Aptos Narrow"/>
      <family val="2"/>
      <scheme val="minor"/>
    </font>
    <font>
      <u/>
      <sz val="11"/>
      <color rgb="FF053D5F"/>
      <name val="Aptos Narrow"/>
      <family val="2"/>
      <scheme val="minor"/>
    </font>
    <font>
      <sz val="11"/>
      <color theme="3"/>
      <name val="Aptos Narrow"/>
      <family val="2"/>
      <scheme val="minor"/>
    </font>
    <font>
      <b/>
      <u/>
      <sz val="11"/>
      <color theme="1"/>
      <name val="Aptos Narrow"/>
      <family val="2"/>
      <scheme val="minor"/>
    </font>
    <font>
      <sz val="8"/>
      <name val="Aptos Narrow"/>
      <family val="2"/>
      <scheme val="minor"/>
    </font>
  </fonts>
  <fills count="15">
    <fill>
      <patternFill patternType="none"/>
    </fill>
    <fill>
      <patternFill patternType="gray125"/>
    </fill>
    <fill>
      <patternFill patternType="solid">
        <fgColor rgb="FF333333"/>
        <bgColor rgb="FF333333"/>
      </patternFill>
    </fill>
    <fill>
      <patternFill patternType="solid">
        <fgColor rgb="FF2E75B6"/>
        <bgColor rgb="FF0066CC"/>
      </patternFill>
    </fill>
    <fill>
      <patternFill patternType="solid">
        <fgColor rgb="FFFFFFFF"/>
        <bgColor rgb="FFFFFFCC"/>
      </patternFill>
    </fill>
    <fill>
      <patternFill patternType="solid">
        <fgColor rgb="FFD6E4F0"/>
        <bgColor rgb="FFBDD7EE"/>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solid">
        <fgColor rgb="FFFFC000"/>
        <bgColor indexed="64"/>
      </patternFill>
    </fill>
    <fill>
      <patternFill patternType="solid">
        <fgColor theme="2" tint="-9.9978637043366805E-2"/>
        <bgColor indexed="64"/>
      </patternFill>
    </fill>
    <fill>
      <patternFill patternType="solid">
        <fgColor rgb="FF7030A0"/>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top/>
      <bottom style="thin">
        <color indexed="64"/>
      </bottom>
      <diagonal/>
    </border>
    <border>
      <left/>
      <right/>
      <top style="thin">
        <color indexed="64"/>
      </top>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n">
        <color rgb="FF053D5F"/>
      </top>
      <bottom style="thin">
        <color rgb="FF053D5F"/>
      </bottom>
      <diagonal/>
    </border>
    <border>
      <left style="thin">
        <color indexed="64"/>
      </left>
      <right style="thin">
        <color indexed="64"/>
      </right>
      <top style="thin">
        <color indexed="64"/>
      </top>
      <bottom/>
      <diagonal/>
    </border>
    <border>
      <left style="thin">
        <color rgb="FF053D5F"/>
      </left>
      <right style="thin">
        <color rgb="FF053D5F"/>
      </right>
      <top style="thin">
        <color rgb="FF053D5F"/>
      </top>
      <bottom/>
      <diagonal/>
    </border>
    <border>
      <left style="thin">
        <color indexed="64"/>
      </left>
      <right style="thin">
        <color indexed="64"/>
      </right>
      <top/>
      <bottom/>
      <diagonal/>
    </border>
    <border>
      <left style="thin">
        <color rgb="FF053D5F"/>
      </left>
      <right style="thin">
        <color rgb="FF053D5F"/>
      </right>
      <top/>
      <bottom/>
      <diagonal/>
    </border>
    <border>
      <left style="thin">
        <color rgb="FF053D5F"/>
      </left>
      <right style="thin">
        <color rgb="FF053D5F"/>
      </right>
      <top/>
      <bottom style="thin">
        <color rgb="FF053D5F"/>
      </bottom>
      <diagonal/>
    </border>
    <border>
      <left style="thin">
        <color indexed="64"/>
      </left>
      <right style="thin">
        <color indexed="64"/>
      </right>
      <top/>
      <bottom style="thin">
        <color indexed="64"/>
      </bottom>
      <diagonal/>
    </border>
    <border>
      <left style="thin">
        <color rgb="FF053D5F"/>
      </left>
      <right/>
      <top style="thin">
        <color rgb="FF053D5F"/>
      </top>
      <bottom/>
      <diagonal/>
    </border>
    <border>
      <left style="thin">
        <color rgb="FF053D5F"/>
      </left>
      <right/>
      <top/>
      <bottom/>
      <diagonal/>
    </border>
    <border>
      <left style="thin">
        <color rgb="FF053D5F"/>
      </left>
      <right/>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indexed="64"/>
      </right>
      <top style="thin">
        <color indexed="64"/>
      </top>
      <bottom style="thin">
        <color rgb="FF053D5F"/>
      </bottom>
      <diagonal/>
    </border>
    <border>
      <left style="thin">
        <color indexed="64"/>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style="thin">
        <color rgb="FF053D5F"/>
      </left>
      <right style="thin">
        <color rgb="FF053D5F"/>
      </right>
      <top style="thin">
        <color rgb="FF053D5F"/>
      </top>
      <bottom style="thin">
        <color indexed="64"/>
      </bottom>
      <diagonal/>
    </border>
    <border>
      <left style="thin">
        <color rgb="FF053D5F"/>
      </left>
      <right style="thin">
        <color indexed="64"/>
      </right>
      <top style="thin">
        <color rgb="FF053D5F"/>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7">
    <xf numFmtId="0" fontId="0" fillId="0" borderId="0"/>
    <xf numFmtId="0" fontId="2" fillId="0" borderId="0"/>
    <xf numFmtId="43" fontId="5" fillId="0" borderId="0" applyFont="0" applyFill="0" applyBorder="0" applyAlignment="0" applyProtection="0"/>
    <xf numFmtId="44" fontId="5" fillId="0" borderId="0" applyFont="0" applyFill="0" applyBorder="0" applyAlignment="0" applyProtection="0"/>
    <xf numFmtId="0" fontId="8" fillId="0" borderId="0"/>
    <xf numFmtId="0" fontId="11" fillId="0" borderId="0" applyNumberFormat="0" applyFill="0" applyBorder="0" applyAlignment="0" applyProtection="0">
      <alignment vertical="top"/>
      <protection locked="0"/>
    </xf>
    <xf numFmtId="165" fontId="8" fillId="0" borderId="0" applyFont="0" applyFill="0" applyBorder="0" applyAlignment="0" applyProtection="0"/>
  </cellStyleXfs>
  <cellXfs count="149">
    <xf numFmtId="0" fontId="0" fillId="0" borderId="0" xfId="0"/>
    <xf numFmtId="0" fontId="1" fillId="2" borderId="1" xfId="0" applyFont="1" applyFill="1" applyBorder="1"/>
    <xf numFmtId="0" fontId="4" fillId="4" borderId="2" xfId="1" applyFont="1" applyFill="1" applyBorder="1" applyAlignment="1">
      <alignment horizontal="left" vertical="center"/>
    </xf>
    <xf numFmtId="4" fontId="4" fillId="4" borderId="2" xfId="1" applyNumberFormat="1" applyFont="1" applyFill="1" applyBorder="1" applyAlignment="1">
      <alignment horizontal="right" vertical="center"/>
    </xf>
    <xf numFmtId="0" fontId="4" fillId="5" borderId="2" xfId="1" applyFont="1" applyFill="1" applyBorder="1" applyAlignment="1">
      <alignment horizontal="left" vertical="center"/>
    </xf>
    <xf numFmtId="4" fontId="4" fillId="5" borderId="2" xfId="1" applyNumberFormat="1" applyFont="1" applyFill="1" applyBorder="1" applyAlignment="1">
      <alignment horizontal="right" vertical="center"/>
    </xf>
    <xf numFmtId="0" fontId="4" fillId="4" borderId="3" xfId="1" applyFont="1" applyFill="1" applyBorder="1" applyAlignment="1">
      <alignment horizontal="center" vertical="center"/>
    </xf>
    <xf numFmtId="0" fontId="4" fillId="5" borderId="3" xfId="1" applyFont="1" applyFill="1" applyBorder="1" applyAlignment="1">
      <alignment horizontal="center" vertical="center"/>
    </xf>
    <xf numFmtId="4" fontId="4" fillId="4" borderId="4" xfId="1" applyNumberFormat="1" applyFont="1" applyFill="1" applyBorder="1" applyAlignment="1">
      <alignment horizontal="right" vertical="center"/>
    </xf>
    <xf numFmtId="4" fontId="4" fillId="5" borderId="4" xfId="1" applyNumberFormat="1" applyFont="1" applyFill="1" applyBorder="1" applyAlignment="1">
      <alignment horizontal="right" vertical="center"/>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7" xfId="1" applyFont="1" applyFill="1" applyBorder="1" applyAlignment="1">
      <alignment horizontal="center" vertical="center"/>
    </xf>
    <xf numFmtId="0" fontId="7" fillId="6" borderId="1" xfId="0" applyFont="1" applyFill="1" applyBorder="1"/>
    <xf numFmtId="0" fontId="9" fillId="7" borderId="8" xfId="4" applyFont="1" applyFill="1" applyBorder="1"/>
    <xf numFmtId="0" fontId="10" fillId="8" borderId="9" xfId="4" applyFont="1" applyFill="1" applyBorder="1"/>
    <xf numFmtId="0" fontId="8" fillId="8" borderId="0" xfId="4" applyFill="1"/>
    <xf numFmtId="0" fontId="8" fillId="0" borderId="0" xfId="4"/>
    <xf numFmtId="0" fontId="12" fillId="0" borderId="0" xfId="5" applyFont="1" applyAlignment="1" applyProtection="1"/>
    <xf numFmtId="0" fontId="13" fillId="8" borderId="0" xfId="4" applyFont="1" applyFill="1"/>
    <xf numFmtId="0" fontId="14" fillId="8" borderId="0" xfId="4" applyFont="1" applyFill="1"/>
    <xf numFmtId="0" fontId="13" fillId="0" borderId="0" xfId="4" applyFont="1"/>
    <xf numFmtId="0" fontId="15" fillId="9" borderId="10" xfId="4" applyFont="1" applyFill="1" applyBorder="1" applyAlignment="1">
      <alignment horizontal="left" vertical="center" wrapText="1"/>
    </xf>
    <xf numFmtId="0" fontId="16" fillId="8" borderId="11" xfId="4" applyFont="1" applyFill="1" applyBorder="1" applyAlignment="1">
      <alignment horizontal="left" vertical="center" wrapText="1"/>
    </xf>
    <xf numFmtId="14" fontId="16" fillId="8" borderId="11" xfId="4" applyNumberFormat="1" applyFont="1" applyFill="1" applyBorder="1" applyAlignment="1">
      <alignment horizontal="left" vertical="center"/>
    </xf>
    <xf numFmtId="0" fontId="15" fillId="9" borderId="10" xfId="4" applyFont="1" applyFill="1" applyBorder="1" applyAlignment="1">
      <alignment horizontal="left" vertical="center"/>
    </xf>
    <xf numFmtId="0" fontId="15" fillId="9" borderId="12" xfId="4" applyFont="1" applyFill="1" applyBorder="1" applyAlignment="1">
      <alignment horizontal="left" vertical="center" wrapText="1"/>
    </xf>
    <xf numFmtId="0" fontId="16" fillId="8" borderId="13" xfId="4" applyFont="1" applyFill="1" applyBorder="1" applyAlignment="1">
      <alignment horizontal="left" vertical="center" wrapText="1"/>
    </xf>
    <xf numFmtId="0" fontId="15" fillId="9" borderId="12" xfId="4" applyFont="1" applyFill="1" applyBorder="1" applyAlignment="1">
      <alignment horizontal="left" vertical="center"/>
    </xf>
    <xf numFmtId="164" fontId="16" fillId="8" borderId="13" xfId="4" applyNumberFormat="1" applyFont="1" applyFill="1" applyBorder="1" applyAlignment="1">
      <alignment horizontal="left"/>
    </xf>
    <xf numFmtId="1" fontId="16" fillId="8" borderId="13" xfId="4" applyNumberFormat="1" applyFont="1" applyFill="1" applyBorder="1" applyAlignment="1">
      <alignment horizontal="left"/>
    </xf>
    <xf numFmtId="0" fontId="18" fillId="8" borderId="0" xfId="4" applyFont="1" applyFill="1" applyAlignment="1">
      <alignment wrapText="1"/>
    </xf>
    <xf numFmtId="0" fontId="17" fillId="8" borderId="0" xfId="4" applyFont="1" applyFill="1" applyAlignment="1">
      <alignment horizontal="left" vertical="top" wrapText="1"/>
    </xf>
    <xf numFmtId="0" fontId="18" fillId="8" borderId="0" xfId="4" applyFont="1" applyFill="1" applyAlignment="1">
      <alignment horizontal="left" vertical="top" wrapText="1"/>
    </xf>
    <xf numFmtId="0" fontId="18" fillId="8" borderId="0" xfId="4" applyFont="1" applyFill="1" applyAlignment="1">
      <alignment vertical="center"/>
    </xf>
    <xf numFmtId="0" fontId="28" fillId="0" borderId="17" xfId="4" applyFont="1" applyBorder="1"/>
    <xf numFmtId="0" fontId="28" fillId="10" borderId="17" xfId="4" applyFont="1" applyFill="1" applyBorder="1"/>
    <xf numFmtId="0" fontId="28" fillId="10" borderId="17" xfId="4" applyFont="1" applyFill="1" applyBorder="1" applyAlignment="1">
      <alignment horizontal="left"/>
    </xf>
    <xf numFmtId="166" fontId="5" fillId="8" borderId="0" xfId="6" applyNumberFormat="1" applyFont="1" applyFill="1"/>
    <xf numFmtId="167" fontId="28" fillId="0" borderId="17" xfId="4" applyNumberFormat="1" applyFont="1" applyBorder="1" applyAlignment="1">
      <alignment horizontal="center"/>
    </xf>
    <xf numFmtId="0" fontId="30" fillId="8" borderId="0" xfId="4" applyFont="1" applyFill="1" applyAlignment="1">
      <alignment vertical="top"/>
    </xf>
    <xf numFmtId="167" fontId="18" fillId="8" borderId="0" xfId="4" applyNumberFormat="1" applyFont="1" applyFill="1" applyAlignment="1">
      <alignment horizontal="left" vertical="top" wrapText="1"/>
    </xf>
    <xf numFmtId="168" fontId="28" fillId="0" borderId="17" xfId="4" applyNumberFormat="1" applyFont="1" applyBorder="1" applyAlignment="1">
      <alignment horizontal="center"/>
    </xf>
    <xf numFmtId="168" fontId="28" fillId="0" borderId="17" xfId="4" applyNumberFormat="1" applyFont="1" applyBorder="1" applyAlignment="1">
      <alignment horizontal="center" vertical="center"/>
    </xf>
    <xf numFmtId="0" fontId="28" fillId="8" borderId="0" xfId="4" applyFont="1" applyFill="1"/>
    <xf numFmtId="0" fontId="28" fillId="8" borderId="0" xfId="4" applyFont="1" applyFill="1" applyAlignment="1">
      <alignment horizontal="center"/>
    </xf>
    <xf numFmtId="4" fontId="28" fillId="0" borderId="17" xfId="4" applyNumberFormat="1" applyFont="1" applyBorder="1" applyAlignment="1">
      <alignment horizontal="center"/>
    </xf>
    <xf numFmtId="0" fontId="28" fillId="10" borderId="19" xfId="4" applyFont="1" applyFill="1" applyBorder="1"/>
    <xf numFmtId="168" fontId="28" fillId="0" borderId="19" xfId="4" applyNumberFormat="1" applyFont="1" applyBorder="1" applyAlignment="1">
      <alignment horizontal="center"/>
    </xf>
    <xf numFmtId="0" fontId="28" fillId="10" borderId="27" xfId="4" applyFont="1" applyFill="1" applyBorder="1"/>
    <xf numFmtId="4" fontId="28" fillId="0" borderId="28" xfId="4" applyNumberFormat="1" applyFont="1" applyBorder="1" applyAlignment="1">
      <alignment horizontal="center"/>
    </xf>
    <xf numFmtId="4" fontId="28" fillId="0" borderId="29" xfId="4" applyNumberFormat="1" applyFont="1" applyBorder="1" applyAlignment="1">
      <alignment horizontal="center"/>
    </xf>
    <xf numFmtId="0" fontId="28" fillId="10" borderId="30" xfId="4" applyFont="1" applyFill="1" applyBorder="1"/>
    <xf numFmtId="168" fontId="28" fillId="0" borderId="31" xfId="4" applyNumberFormat="1" applyFont="1" applyBorder="1" applyAlignment="1">
      <alignment horizontal="center"/>
    </xf>
    <xf numFmtId="0" fontId="28" fillId="10" borderId="32" xfId="4" applyFont="1" applyFill="1" applyBorder="1"/>
    <xf numFmtId="168" fontId="28" fillId="0" borderId="33" xfId="4" applyNumberFormat="1" applyFont="1" applyBorder="1" applyAlignment="1">
      <alignment horizontal="center"/>
    </xf>
    <xf numFmtId="168" fontId="28" fillId="0" borderId="34" xfId="4" applyNumberFormat="1" applyFont="1" applyBorder="1" applyAlignment="1">
      <alignment horizontal="center"/>
    </xf>
    <xf numFmtId="0" fontId="28" fillId="10" borderId="22" xfId="4" applyFont="1" applyFill="1" applyBorder="1"/>
    <xf numFmtId="4" fontId="28" fillId="0" borderId="22" xfId="4" applyNumberFormat="1" applyFont="1" applyBorder="1" applyAlignment="1">
      <alignment horizontal="center"/>
    </xf>
    <xf numFmtId="0" fontId="28" fillId="11" borderId="17" xfId="4" applyFont="1" applyFill="1" applyBorder="1" applyAlignment="1">
      <alignment horizontal="center"/>
    </xf>
    <xf numFmtId="0" fontId="28" fillId="8" borderId="0" xfId="4" applyFont="1" applyFill="1" applyAlignment="1">
      <alignment horizontal="left" vertical="top"/>
    </xf>
    <xf numFmtId="0" fontId="8" fillId="8" borderId="0" xfId="4" applyFill="1" applyAlignment="1">
      <alignment horizontal="left" vertical="top"/>
    </xf>
    <xf numFmtId="0" fontId="41" fillId="8" borderId="0" xfId="4" applyFont="1" applyFill="1" applyAlignment="1">
      <alignment vertical="top"/>
    </xf>
    <xf numFmtId="0" fontId="18" fillId="8" borderId="0" xfId="4" applyFont="1" applyFill="1"/>
    <xf numFmtId="0" fontId="46" fillId="8" borderId="0" xfId="4" applyFont="1" applyFill="1"/>
    <xf numFmtId="0" fontId="18" fillId="8" borderId="0" xfId="4" applyFont="1" applyFill="1" applyAlignment="1">
      <alignment vertical="top" wrapText="1"/>
    </xf>
    <xf numFmtId="0" fontId="6" fillId="8" borderId="0" xfId="4" applyFont="1" applyFill="1"/>
    <xf numFmtId="0" fontId="19" fillId="8" borderId="0" xfId="4" applyFont="1" applyFill="1" applyAlignment="1">
      <alignment vertical="top"/>
    </xf>
    <xf numFmtId="0" fontId="18" fillId="8" borderId="0" xfId="4" applyFont="1" applyFill="1" applyAlignment="1">
      <alignment vertical="top"/>
    </xf>
    <xf numFmtId="0" fontId="28" fillId="8" borderId="0" xfId="4" applyFont="1" applyFill="1" applyAlignment="1">
      <alignment vertical="top" wrapText="1"/>
    </xf>
    <xf numFmtId="0" fontId="28" fillId="8" borderId="0" xfId="4" applyFont="1" applyFill="1" applyAlignment="1">
      <alignment vertical="top"/>
    </xf>
    <xf numFmtId="0" fontId="28" fillId="0" borderId="17" xfId="4" applyFont="1" applyBorder="1" applyAlignment="1">
      <alignment horizontal="left" wrapText="1"/>
    </xf>
    <xf numFmtId="0" fontId="28" fillId="10" borderId="17" xfId="4" applyFont="1" applyFill="1" applyBorder="1" applyAlignment="1">
      <alignment horizontal="left" wrapText="1"/>
    </xf>
    <xf numFmtId="0" fontId="28" fillId="8" borderId="17" xfId="4" applyFont="1" applyFill="1" applyBorder="1"/>
    <xf numFmtId="169" fontId="28" fillId="0" borderId="17" xfId="4" applyNumberFormat="1" applyFont="1" applyBorder="1" applyAlignment="1">
      <alignment horizontal="center"/>
    </xf>
    <xf numFmtId="169" fontId="28" fillId="8" borderId="0" xfId="4" applyNumberFormat="1" applyFont="1" applyFill="1"/>
    <xf numFmtId="0" fontId="47" fillId="8" borderId="0" xfId="4" applyFont="1" applyFill="1"/>
    <xf numFmtId="0" fontId="17" fillId="8" borderId="0" xfId="4" applyFont="1" applyFill="1"/>
    <xf numFmtId="0" fontId="30" fillId="8" borderId="0" xfId="4" applyFont="1" applyFill="1"/>
    <xf numFmtId="0" fontId="18" fillId="0" borderId="0" xfId="4" applyFont="1"/>
    <xf numFmtId="170" fontId="28" fillId="0" borderId="17" xfId="4" applyNumberFormat="1" applyFont="1" applyBorder="1" applyAlignment="1">
      <alignment horizontal="center"/>
    </xf>
    <xf numFmtId="170" fontId="18" fillId="8" borderId="0" xfId="4" applyNumberFormat="1" applyFont="1" applyFill="1" applyAlignment="1">
      <alignment horizontal="left" vertical="top" wrapText="1"/>
    </xf>
    <xf numFmtId="170" fontId="28" fillId="0" borderId="17" xfId="4" applyNumberFormat="1" applyFont="1" applyBorder="1" applyAlignment="1">
      <alignment horizontal="center" vertical="center"/>
    </xf>
    <xf numFmtId="170" fontId="28" fillId="0" borderId="19" xfId="4" applyNumberFormat="1" applyFont="1" applyBorder="1" applyAlignment="1">
      <alignment horizontal="center"/>
    </xf>
    <xf numFmtId="170" fontId="28" fillId="0" borderId="28" xfId="4" applyNumberFormat="1" applyFont="1" applyBorder="1" applyAlignment="1">
      <alignment horizontal="center"/>
    </xf>
    <xf numFmtId="170" fontId="28" fillId="0" borderId="29" xfId="4" applyNumberFormat="1" applyFont="1" applyBorder="1" applyAlignment="1">
      <alignment horizontal="center"/>
    </xf>
    <xf numFmtId="170" fontId="28" fillId="0" borderId="31" xfId="4" applyNumberFormat="1" applyFont="1" applyBorder="1" applyAlignment="1">
      <alignment horizontal="center"/>
    </xf>
    <xf numFmtId="170" fontId="28" fillId="0" borderId="33" xfId="4" applyNumberFormat="1" applyFont="1" applyBorder="1" applyAlignment="1">
      <alignment horizontal="center"/>
    </xf>
    <xf numFmtId="170" fontId="28" fillId="0" borderId="34" xfId="4" applyNumberFormat="1" applyFont="1" applyBorder="1" applyAlignment="1">
      <alignment horizontal="center"/>
    </xf>
    <xf numFmtId="170" fontId="28" fillId="0" borderId="22" xfId="4" applyNumberFormat="1" applyFont="1" applyBorder="1" applyAlignment="1">
      <alignment horizontal="center"/>
    </xf>
    <xf numFmtId="170" fontId="28" fillId="11" borderId="17" xfId="4" applyNumberFormat="1" applyFont="1" applyFill="1" applyBorder="1" applyAlignment="1">
      <alignment horizontal="center"/>
    </xf>
    <xf numFmtId="171" fontId="18" fillId="8" borderId="0" xfId="4" applyNumberFormat="1" applyFont="1" applyFill="1" applyAlignment="1">
      <alignment horizontal="left" vertical="top" wrapText="1"/>
    </xf>
    <xf numFmtId="49" fontId="16" fillId="8" borderId="11" xfId="4" applyNumberFormat="1" applyFont="1" applyFill="1" applyBorder="1" applyAlignment="1">
      <alignment horizontal="left" vertical="center"/>
    </xf>
    <xf numFmtId="167" fontId="28" fillId="12" borderId="17" xfId="4" applyNumberFormat="1" applyFont="1" applyFill="1" applyBorder="1" applyAlignment="1">
      <alignment horizontal="center"/>
    </xf>
    <xf numFmtId="170" fontId="28" fillId="12" borderId="17" xfId="4" applyNumberFormat="1" applyFont="1" applyFill="1" applyBorder="1" applyAlignment="1">
      <alignment horizontal="center"/>
    </xf>
    <xf numFmtId="169" fontId="28" fillId="12" borderId="17" xfId="4" applyNumberFormat="1" applyFont="1" applyFill="1" applyBorder="1" applyAlignment="1">
      <alignment horizontal="center"/>
    </xf>
    <xf numFmtId="0" fontId="0" fillId="13" borderId="1" xfId="0" applyFill="1" applyBorder="1"/>
    <xf numFmtId="172" fontId="48" fillId="12" borderId="1" xfId="2" applyNumberFormat="1" applyFont="1" applyFill="1" applyBorder="1"/>
    <xf numFmtId="0" fontId="49" fillId="0" borderId="0" xfId="0" applyFont="1"/>
    <xf numFmtId="43" fontId="48" fillId="12" borderId="1" xfId="2" applyFont="1" applyFill="1" applyBorder="1"/>
    <xf numFmtId="0" fontId="7" fillId="14" borderId="1" xfId="0" applyFont="1" applyFill="1" applyBorder="1"/>
    <xf numFmtId="44" fontId="4" fillId="4" borderId="2" xfId="3" applyFont="1" applyFill="1" applyBorder="1" applyAlignment="1">
      <alignment horizontal="right" vertical="center"/>
    </xf>
    <xf numFmtId="44" fontId="4" fillId="5" borderId="2" xfId="3" applyFont="1" applyFill="1" applyBorder="1" applyAlignment="1">
      <alignment horizontal="right" vertical="center"/>
    </xf>
    <xf numFmtId="17" fontId="0" fillId="0" borderId="0" xfId="0" applyNumberFormat="1"/>
    <xf numFmtId="0" fontId="0" fillId="13" borderId="1" xfId="0" applyFill="1" applyBorder="1" applyAlignment="1">
      <alignment horizontal="center" vertical="center"/>
    </xf>
    <xf numFmtId="0" fontId="18" fillId="8" borderId="0" xfId="4" applyFont="1" applyFill="1" applyAlignment="1">
      <alignment horizontal="left" vertical="top" wrapText="1"/>
    </xf>
    <xf numFmtId="0" fontId="41" fillId="8" borderId="0" xfId="4" applyFont="1" applyFill="1" applyAlignment="1">
      <alignment vertical="top"/>
    </xf>
    <xf numFmtId="0" fontId="31" fillId="8" borderId="0" xfId="4" applyFont="1" applyFill="1" applyAlignment="1">
      <alignment horizontal="left" vertical="top" wrapText="1"/>
    </xf>
    <xf numFmtId="0" fontId="17" fillId="8" borderId="0" xfId="4" applyFont="1" applyFill="1" applyAlignment="1">
      <alignment horizontal="left" vertical="top" wrapText="1"/>
    </xf>
    <xf numFmtId="0" fontId="32" fillId="8" borderId="0" xfId="4" applyFont="1" applyFill="1" applyAlignment="1">
      <alignment horizontal="left" vertical="top" wrapText="1"/>
    </xf>
    <xf numFmtId="0" fontId="37" fillId="8" borderId="0" xfId="4" applyFont="1" applyFill="1" applyAlignment="1">
      <alignment horizontal="left" vertical="top" wrapText="1"/>
    </xf>
    <xf numFmtId="0" fontId="28" fillId="10" borderId="19" xfId="4" applyFont="1" applyFill="1" applyBorder="1" applyAlignment="1">
      <alignment vertical="center" wrapText="1"/>
    </xf>
    <xf numFmtId="0" fontId="28" fillId="10" borderId="21" xfId="4" applyFont="1" applyFill="1" applyBorder="1" applyAlignment="1">
      <alignment vertical="center" wrapText="1"/>
    </xf>
    <xf numFmtId="0" fontId="28" fillId="10" borderId="22" xfId="4" applyFont="1" applyFill="1" applyBorder="1" applyAlignment="1">
      <alignment vertical="center" wrapText="1"/>
    </xf>
    <xf numFmtId="0" fontId="28" fillId="10" borderId="19" xfId="4" applyFont="1" applyFill="1" applyBorder="1" applyAlignment="1">
      <alignment horizontal="center" vertical="center"/>
    </xf>
    <xf numFmtId="0" fontId="28" fillId="10" borderId="21" xfId="4" applyFont="1" applyFill="1" applyBorder="1" applyAlignment="1">
      <alignment horizontal="center" vertical="center"/>
    </xf>
    <xf numFmtId="0" fontId="28" fillId="10" borderId="22" xfId="4" applyFont="1" applyFill="1" applyBorder="1" applyAlignment="1">
      <alignment horizontal="center" vertical="center"/>
    </xf>
    <xf numFmtId="0" fontId="28" fillId="10" borderId="19" xfId="4" applyFont="1" applyFill="1" applyBorder="1" applyAlignment="1">
      <alignment horizontal="left" vertical="center" wrapText="1"/>
    </xf>
    <xf numFmtId="0" fontId="28" fillId="10" borderId="21" xfId="4" applyFont="1" applyFill="1" applyBorder="1" applyAlignment="1">
      <alignment horizontal="left" vertical="center" wrapText="1"/>
    </xf>
    <xf numFmtId="0" fontId="28" fillId="10" borderId="22" xfId="4" applyFont="1" applyFill="1" applyBorder="1" applyAlignment="1">
      <alignment horizontal="left" vertical="center" wrapText="1"/>
    </xf>
    <xf numFmtId="0" fontId="28" fillId="10" borderId="24" xfId="4" applyFont="1" applyFill="1" applyBorder="1" applyAlignment="1">
      <alignment vertical="center" wrapText="1"/>
    </xf>
    <xf numFmtId="0" fontId="28" fillId="10" borderId="25" xfId="4" applyFont="1" applyFill="1" applyBorder="1" applyAlignment="1">
      <alignment vertical="center" wrapText="1"/>
    </xf>
    <xf numFmtId="0" fontId="28" fillId="10" borderId="26" xfId="4" applyFont="1" applyFill="1" applyBorder="1" applyAlignment="1">
      <alignment vertical="center" wrapText="1"/>
    </xf>
    <xf numFmtId="0" fontId="28" fillId="10" borderId="19" xfId="4" applyFont="1" applyFill="1" applyBorder="1" applyAlignment="1">
      <alignment vertical="center"/>
    </xf>
    <xf numFmtId="0" fontId="28" fillId="10" borderId="21" xfId="4" applyFont="1" applyFill="1" applyBorder="1" applyAlignment="1">
      <alignment vertical="center"/>
    </xf>
    <xf numFmtId="0" fontId="28" fillId="10" borderId="22" xfId="4" applyFont="1" applyFill="1" applyBorder="1" applyAlignment="1">
      <alignment vertical="center"/>
    </xf>
    <xf numFmtId="0" fontId="27" fillId="8" borderId="0" xfId="5" applyNumberFormat="1" applyFont="1" applyFill="1" applyBorder="1" applyAlignment="1" applyProtection="1">
      <alignment horizontal="left" vertical="top" wrapText="1"/>
    </xf>
    <xf numFmtId="0" fontId="28" fillId="10" borderId="18" xfId="4" applyFont="1" applyFill="1" applyBorder="1" applyAlignment="1">
      <alignment vertical="center"/>
    </xf>
    <xf numFmtId="0" fontId="28" fillId="10" borderId="20" xfId="4" applyFont="1" applyFill="1" applyBorder="1" applyAlignment="1">
      <alignment vertical="center"/>
    </xf>
    <xf numFmtId="0" fontId="28" fillId="10" borderId="23" xfId="4" applyFont="1" applyFill="1" applyBorder="1" applyAlignment="1">
      <alignment vertical="center"/>
    </xf>
    <xf numFmtId="0" fontId="23" fillId="8" borderId="0" xfId="4" applyFont="1" applyFill="1" applyAlignment="1">
      <alignment horizontal="left" vertical="top" wrapText="1"/>
    </xf>
    <xf numFmtId="0" fontId="24" fillId="8" borderId="0" xfId="4" applyFont="1" applyFill="1" applyAlignment="1">
      <alignment horizontal="left" vertical="top" wrapText="1"/>
    </xf>
    <xf numFmtId="0" fontId="17" fillId="8" borderId="14" xfId="4" applyFont="1" applyFill="1" applyBorder="1" applyAlignment="1">
      <alignment horizontal="left" vertical="top" wrapText="1"/>
    </xf>
    <xf numFmtId="0" fontId="17" fillId="8" borderId="15" xfId="4" applyFont="1" applyFill="1" applyBorder="1" applyAlignment="1">
      <alignment horizontal="left" vertical="top" wrapText="1"/>
    </xf>
    <xf numFmtId="0" fontId="17" fillId="8" borderId="16" xfId="4" applyFont="1" applyFill="1" applyBorder="1" applyAlignment="1">
      <alignment horizontal="left" vertical="top" wrapText="1"/>
    </xf>
    <xf numFmtId="0" fontId="19" fillId="8" borderId="0" xfId="4" applyFont="1" applyFill="1" applyAlignment="1">
      <alignment horizontal="left" vertical="top" wrapText="1"/>
    </xf>
    <xf numFmtId="0" fontId="8" fillId="8" borderId="0" xfId="4" applyFill="1"/>
    <xf numFmtId="0" fontId="8" fillId="0" borderId="0" xfId="4"/>
    <xf numFmtId="0" fontId="19" fillId="8" borderId="0" xfId="4" applyFont="1" applyFill="1" applyAlignment="1">
      <alignment vertical="top" wrapText="1"/>
    </xf>
    <xf numFmtId="0" fontId="17" fillId="8" borderId="0" xfId="4" applyFont="1" applyFill="1" applyAlignment="1">
      <alignment vertical="top" wrapText="1"/>
    </xf>
    <xf numFmtId="0" fontId="18" fillId="8" borderId="0" xfId="4" applyFont="1" applyFill="1" applyAlignment="1">
      <alignment vertical="top" wrapText="1"/>
    </xf>
    <xf numFmtId="0" fontId="18" fillId="0" borderId="0" xfId="4" applyFont="1" applyAlignment="1">
      <alignment vertical="top" wrapText="1"/>
    </xf>
    <xf numFmtId="0" fontId="28" fillId="8" borderId="0" xfId="4" applyFont="1" applyFill="1" applyAlignment="1">
      <alignment vertical="top" wrapText="1"/>
    </xf>
    <xf numFmtId="0" fontId="17" fillId="0" borderId="35" xfId="4" applyFont="1" applyBorder="1" applyAlignment="1">
      <alignment vertical="top" wrapText="1"/>
    </xf>
    <xf numFmtId="0" fontId="17" fillId="0" borderId="36" xfId="4" applyFont="1" applyBorder="1" applyAlignment="1">
      <alignment vertical="top" wrapText="1"/>
    </xf>
    <xf numFmtId="0" fontId="17" fillId="0" borderId="37" xfId="4" applyFont="1" applyBorder="1" applyAlignment="1">
      <alignment vertical="top" wrapText="1"/>
    </xf>
    <xf numFmtId="0" fontId="18" fillId="0" borderId="0" xfId="4" applyFont="1" applyAlignment="1">
      <alignment horizontal="left" vertical="top" wrapText="1"/>
    </xf>
    <xf numFmtId="0" fontId="4" fillId="4" borderId="2" xfId="1" applyNumberFormat="1" applyFont="1" applyFill="1" applyBorder="1" applyAlignment="1">
      <alignment horizontal="right" vertical="center"/>
    </xf>
    <xf numFmtId="0" fontId="4" fillId="5" borderId="2" xfId="1" applyNumberFormat="1" applyFont="1" applyFill="1" applyBorder="1" applyAlignment="1">
      <alignment horizontal="right" vertical="center"/>
    </xf>
  </cellXfs>
  <cellStyles count="7">
    <cellStyle name="Comma" xfId="2" builtinId="3"/>
    <cellStyle name="Comma 2" xfId="6" xr:uid="{519496E2-7175-4347-A94F-453EE062780E}"/>
    <cellStyle name="Currency" xfId="3" builtinId="4"/>
    <cellStyle name="Hyperlink 2" xfId="5" xr:uid="{4B688DE9-DC04-4FFE-9C96-4DD57BC6B5D3}"/>
    <cellStyle name="Normal" xfId="0" builtinId="0"/>
    <cellStyle name="Normal 2" xfId="1" xr:uid="{93A2C6D4-10EB-4572-86D3-F57F87250F7C}"/>
    <cellStyle name="Normal 3" xfId="4" xr:uid="{BDF35FB2-7C45-406F-B775-4A8FC7B4160F}"/>
  </cellStyles>
  <dxfs count="9">
    <dxf>
      <font>
        <b val="0"/>
        <i val="0"/>
        <strike val="0"/>
        <condense val="0"/>
        <extend val="0"/>
        <outline val="0"/>
        <shadow val="0"/>
        <u val="none"/>
        <vertAlign val="baseline"/>
        <sz val="10"/>
        <color auto="1"/>
        <name val="Arial"/>
        <charset val="1"/>
        <scheme val="none"/>
      </font>
      <numFmt numFmtId="0" formatCode="General"/>
      <fill>
        <patternFill patternType="solid">
          <fgColor rgb="FFBDD7EE"/>
          <bgColor rgb="FFD6E4F0"/>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border outline="0">
        <left style="thin">
          <color rgb="FFBFBFBF"/>
        </left>
      </border>
    </dxf>
    <dxf>
      <border outline="0">
        <right style="thin">
          <color rgb="FFBFBFBF"/>
        </right>
      </border>
    </dxf>
    <dxf>
      <numFmt numFmtId="22" formatCode="mmm\-yy"/>
    </dxf>
    <dxf>
      <border outline="0">
        <right style="thin">
          <color rgb="FFBFBFBF"/>
        </right>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0066CC"/>
          <bgColor rgb="FF2E75B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6</xdr:col>
      <xdr:colOff>428625</xdr:colOff>
      <xdr:row>0</xdr:row>
      <xdr:rowOff>19049</xdr:rowOff>
    </xdr:from>
    <xdr:to>
      <xdr:col>13</xdr:col>
      <xdr:colOff>504825</xdr:colOff>
      <xdr:row>21</xdr:row>
      <xdr:rowOff>85725</xdr:rowOff>
    </xdr:to>
    <xdr:sp macro="" textlink="">
      <xdr:nvSpPr>
        <xdr:cNvPr id="2" name="TextBox 1">
          <a:extLst>
            <a:ext uri="{FF2B5EF4-FFF2-40B4-BE49-F238E27FC236}">
              <a16:creationId xmlns:a16="http://schemas.microsoft.com/office/drawing/2014/main" id="{C583EA3B-D35A-45F7-C622-B85E585203DE}"/>
            </a:ext>
          </a:extLst>
        </xdr:cNvPr>
        <xdr:cNvSpPr txBox="1"/>
      </xdr:nvSpPr>
      <xdr:spPr>
        <a:xfrm>
          <a:off x="4810125" y="19049"/>
          <a:ext cx="4343400" cy="406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Reporting Year</a:t>
          </a:r>
        </a:p>
        <a:p>
          <a:endParaRPr lang="en-GB" sz="1100" b="1"/>
        </a:p>
        <a:p>
          <a:r>
            <a:rPr lang="en-GB" sz="1100" b="0"/>
            <a:t>A reporting</a:t>
          </a:r>
          <a:r>
            <a:rPr lang="en-GB" sz="1100" b="0" baseline="0"/>
            <a:t> year is Apr - Mar</a:t>
          </a:r>
          <a:endParaRPr lang="en-GB" sz="1100" b="0"/>
        </a:p>
        <a:p>
          <a:endParaRPr lang="en-GB" sz="1100" b="1"/>
        </a:p>
        <a:p>
          <a:r>
            <a:rPr lang="en-GB" sz="1100" b="1"/>
            <a:t>GHG factor approach</a:t>
          </a:r>
        </a:p>
        <a:p>
          <a:endParaRPr lang="en-GB" sz="1100" b="1"/>
        </a:p>
        <a:p>
          <a:r>
            <a:rPr lang="en-GB"/>
            <a:t>All greenhouse gas emissions have been calculated in accordance with the </a:t>
          </a:r>
          <a:r>
            <a:rPr lang="en-GB" i="1"/>
            <a:t>UK Government GHG Conversion Factors for Company Reporting</a:t>
          </a:r>
          <a:r>
            <a:rPr lang="en-GB"/>
            <a:t>. To ensure the accuracy and relevance of emissions data, the conversion factor is</a:t>
          </a:r>
          <a:r>
            <a:rPr lang="en-GB" baseline="0"/>
            <a:t> applied</a:t>
          </a:r>
          <a:r>
            <a:rPr lang="en-GB"/>
            <a:t> corresponding to the calendar year in which the majority of the reporting period falls.</a:t>
          </a:r>
        </a:p>
        <a:p>
          <a:endParaRPr lang="en-GB"/>
        </a:p>
        <a:p>
          <a:r>
            <a:rPr lang="en-GB" b="1"/>
            <a:t>£ / kWh factor approach</a:t>
          </a:r>
        </a:p>
        <a:p>
          <a:endParaRPr lang="en-GB" b="1"/>
        </a:p>
        <a:p>
          <a:r>
            <a:rPr lang="en-GB"/>
            <a:t>Financial data was sourced directly from supplier invoices. For each financial year, the average cost per kWh was determined by calculating the mean unit rate across all 12 monthly invoices within that period.</a:t>
          </a:r>
        </a:p>
        <a:p>
          <a:endParaRPr lang="en-GB" sz="1100" b="1"/>
        </a:p>
        <a:p>
          <a:r>
            <a:rPr lang="en-GB" sz="1100" b="1"/>
            <a:t>Location</a:t>
          </a:r>
        </a:p>
        <a:p>
          <a:endParaRPr lang="en-GB" sz="1100" b="1"/>
        </a:p>
        <a:p>
          <a:r>
            <a:rPr lang="en-GB" sz="1100" b="0"/>
            <a:t>All sites belong to a</a:t>
          </a:r>
          <a:r>
            <a:rPr lang="en-GB" sz="1100" b="0" baseline="0"/>
            <a:t>n anonymised client with 4 sites</a:t>
          </a:r>
          <a:r>
            <a:rPr lang="en-GB" sz="1100" b="0"/>
            <a:t> located in North</a:t>
          </a:r>
          <a:r>
            <a:rPr lang="en-GB" sz="1100" b="0" baseline="0"/>
            <a:t> London</a:t>
          </a:r>
          <a:endParaRPr lang="en-GB" sz="1100" b="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eisgov.sharepoint.com/projects/Defra%20GHG%20Conversion%20Factors/2023%20Update/All%20factors/ghg-conversion-factors-2023update_MASTER_(LINKED)_AR5_v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_Index"/>
      <sheetName val="Version&amp;Issue_Log"/>
      <sheetName val="Update_Checklist"/>
      <sheetName val="DataSources"/>
      <sheetName val="QC_Checklist"/>
      <sheetName val="Lookups"/>
      <sheetName val="Introduction"/>
      <sheetName val="What's new"/>
      <sheetName val="Index"/>
      <sheetName val="Fuels"/>
      <sheetName val="Bioenergy"/>
      <sheetName val="Refrigerant &amp; other"/>
      <sheetName val="Passenger vehicles"/>
      <sheetName val="Delivery vehicles"/>
      <sheetName val="SECR kWh pass &amp; delivery vehs"/>
      <sheetName val="UK electricity"/>
      <sheetName val="Overseas electricity"/>
      <sheetName val="UK electricity for EVs"/>
      <sheetName val="SECR kWh UK electricity for EVs"/>
      <sheetName val="Heat and steam"/>
      <sheetName val="WTT- fuels"/>
      <sheetName val="WTT- bioenergy"/>
      <sheetName val="Transmission and distribution"/>
      <sheetName val="UK electricity T&amp;D for EVs"/>
      <sheetName val="WTT- UK electricity"/>
      <sheetName val="WTT- heat and steam"/>
      <sheetName val="Water supply"/>
      <sheetName val="Water treatment"/>
      <sheetName val="Material use"/>
      <sheetName val="Waste disposal"/>
      <sheetName val="Business travel- air"/>
      <sheetName val="WTT- business travel- air"/>
      <sheetName val="Business travel- sea"/>
      <sheetName val="WTT- business travel- sea"/>
      <sheetName val="Business travel- land"/>
      <sheetName val="WTT- pass vehs &amp; travel- land"/>
      <sheetName val="Freighting goods"/>
      <sheetName val="WTT- delivery vehs &amp; freight"/>
      <sheetName val="Hotel stay"/>
      <sheetName val="Managed assets- electricity"/>
      <sheetName val="Managed assets- vehicles"/>
      <sheetName val="Homeworking"/>
      <sheetName val="Outside of scopes"/>
      <sheetName val="Conversions"/>
      <sheetName val="Fuel properties"/>
      <sheetName val="Haul definition"/>
      <sheetName val="Comparison to AR4&gt;&gt;"/>
      <sheetName val="Fuels (AR4)"/>
      <sheetName val="Bioenergy (AR4)"/>
      <sheetName val="Refrigerant &amp; other (AR4)"/>
      <sheetName val="Passenger vehicles (AR4)"/>
      <sheetName val="Delivery vehicles (AR4)"/>
      <sheetName val="SECR kWh pass &amp; delivery (AR4)"/>
      <sheetName val="UK electricity (AR4)"/>
      <sheetName val="Overseas electricity (AR4)"/>
      <sheetName val="UK electricity for EVs (AR4)"/>
      <sheetName val="SECR kWh UK electricity (AR4)"/>
      <sheetName val="Heat and steam (AR4)"/>
      <sheetName val="WTT- fuels (AR4)"/>
      <sheetName val="WTT- bioenergy (AR4)"/>
      <sheetName val="Transmission and distrib (AR4)"/>
      <sheetName val="UK elec T&amp;D for EVs (AR4)"/>
      <sheetName val="WTT- UK electricity (AR4)"/>
      <sheetName val="WTT- heat and steam (AR4)"/>
      <sheetName val="Water supply (AR4)"/>
      <sheetName val="Water treatment (AR4)"/>
      <sheetName val="Material use (AR4)"/>
      <sheetName val="Waste disposal (AR4)"/>
      <sheetName val="Business travel- air (AR4)"/>
      <sheetName val="WTT- business travel-air (AR4)"/>
      <sheetName val="Business travel- sea (AR4)"/>
      <sheetName val="WTT- business travel-sea (AR4)"/>
      <sheetName val="Business travel- land (AR4)"/>
      <sheetName val="WTT- pass vehs&amp;trav- land(AR4)"/>
      <sheetName val="Freighting goods (AR4)"/>
      <sheetName val="WTT- delivery vehs&amp;freigh(AR4)"/>
      <sheetName val="Hotel stay (AR4)"/>
      <sheetName val="Managed assets- elec (AR4)"/>
      <sheetName val="Managed assets- vehicles (AR4)"/>
      <sheetName val="Home Working (AR4)"/>
      <sheetName val="Outside of scopes (AR4)"/>
      <sheetName val="Conversions (AR4)"/>
      <sheetName val="Fuel properties (AR4)"/>
    </sheetNames>
    <sheetDataSet>
      <sheetData sheetId="0"/>
      <sheetData sheetId="1"/>
      <sheetData sheetId="2"/>
      <sheetData sheetId="3"/>
      <sheetData sheetId="4"/>
      <sheetData sheetId="5">
        <row r="33">
          <cell r="G33" t="str">
            <v>Sheet</v>
          </cell>
          <cell r="H33" t="str">
            <v>Convert to AR5?</v>
          </cell>
          <cell r="J33" t="str">
            <v>Gas</v>
          </cell>
          <cell r="K33" t="str">
            <v>AR4 to AR5 Conversion</v>
          </cell>
        </row>
        <row r="34">
          <cell r="G34" t="str">
            <v>Fuels</v>
          </cell>
          <cell r="H34" t="b">
            <v>1</v>
          </cell>
          <cell r="J34" t="str">
            <v>kg CO2</v>
          </cell>
          <cell r="K34">
            <v>1</v>
          </cell>
        </row>
        <row r="35">
          <cell r="G35" t="str">
            <v>Bioenergy</v>
          </cell>
          <cell r="H35" t="b">
            <v>0</v>
          </cell>
          <cell r="J35" t="str">
            <v>kg CH4</v>
          </cell>
          <cell r="K35">
            <v>1.1200000000000001</v>
          </cell>
        </row>
        <row r="36">
          <cell r="G36" t="str">
            <v>Refrigerant &amp; other</v>
          </cell>
          <cell r="H36" t="b">
            <v>0</v>
          </cell>
          <cell r="J36" t="str">
            <v>kg N2O</v>
          </cell>
          <cell r="K36">
            <v>0.88926174496644295</v>
          </cell>
        </row>
        <row r="37">
          <cell r="G37" t="str">
            <v>Passenger vehicles</v>
          </cell>
          <cell r="H37" t="b">
            <v>1</v>
          </cell>
        </row>
        <row r="38">
          <cell r="G38" t="str">
            <v>Delivery vehicles</v>
          </cell>
          <cell r="H38" t="b">
            <v>1</v>
          </cell>
        </row>
        <row r="39">
          <cell r="G39" t="str">
            <v>SECR kWh pass &amp; delivery vehs</v>
          </cell>
          <cell r="H39" t="b">
            <v>1</v>
          </cell>
        </row>
        <row r="40">
          <cell r="G40" t="str">
            <v>UK electricity</v>
          </cell>
          <cell r="H40" t="b">
            <v>1</v>
          </cell>
        </row>
        <row r="41">
          <cell r="G41" t="str">
            <v>Overseas electricity</v>
          </cell>
          <cell r="H41" t="b">
            <v>1</v>
          </cell>
        </row>
        <row r="42">
          <cell r="G42" t="str">
            <v>UK electricity for Evs</v>
          </cell>
          <cell r="H42" t="b">
            <v>1</v>
          </cell>
        </row>
        <row r="43">
          <cell r="G43" t="str">
            <v>SECR kWh UK electricity for Evs</v>
          </cell>
          <cell r="H43" t="b">
            <v>1</v>
          </cell>
        </row>
        <row r="44">
          <cell r="G44" t="str">
            <v>Heat and steam</v>
          </cell>
          <cell r="H44" t="b">
            <v>1</v>
          </cell>
        </row>
        <row r="45">
          <cell r="G45" t="str">
            <v>WTT- fuels</v>
          </cell>
          <cell r="H45" t="b">
            <v>0</v>
          </cell>
        </row>
        <row r="46">
          <cell r="G46" t="str">
            <v>WTT- bioenergy</v>
          </cell>
          <cell r="H46" t="b">
            <v>0</v>
          </cell>
        </row>
        <row r="47">
          <cell r="G47" t="str">
            <v>Transmission and distribution</v>
          </cell>
          <cell r="H47" t="b">
            <v>1</v>
          </cell>
        </row>
        <row r="48">
          <cell r="G48" t="str">
            <v>UK electricity T&amp;D for Evs</v>
          </cell>
          <cell r="H48" t="b">
            <v>1</v>
          </cell>
        </row>
        <row r="49">
          <cell r="G49" t="str">
            <v>WTT- UK &amp; overseas elec</v>
          </cell>
          <cell r="H49" t="b">
            <v>0</v>
          </cell>
        </row>
        <row r="50">
          <cell r="G50" t="str">
            <v>WTT- heat and steam</v>
          </cell>
          <cell r="H50" t="b">
            <v>0</v>
          </cell>
        </row>
        <row r="51">
          <cell r="G51" t="str">
            <v>Water supply</v>
          </cell>
          <cell r="H51" t="b">
            <v>1</v>
          </cell>
        </row>
        <row r="52">
          <cell r="G52" t="str">
            <v>Water treatment</v>
          </cell>
          <cell r="H52" t="b">
            <v>1</v>
          </cell>
        </row>
        <row r="53">
          <cell r="G53" t="str">
            <v>Material use</v>
          </cell>
          <cell r="H53" t="b">
            <v>0</v>
          </cell>
        </row>
        <row r="54">
          <cell r="G54" t="str">
            <v>Waste disposal</v>
          </cell>
          <cell r="H54" t="b">
            <v>0</v>
          </cell>
        </row>
        <row r="55">
          <cell r="G55" t="str">
            <v>Business travel- air</v>
          </cell>
          <cell r="H55" t="b">
            <v>1</v>
          </cell>
        </row>
        <row r="56">
          <cell r="G56" t="str">
            <v>WTT- business travel- air</v>
          </cell>
          <cell r="H56" t="b">
            <v>0</v>
          </cell>
        </row>
        <row r="57">
          <cell r="G57" t="str">
            <v>Business travel- sea</v>
          </cell>
          <cell r="H57" t="b">
            <v>1</v>
          </cell>
        </row>
        <row r="58">
          <cell r="G58" t="str">
            <v>WTT- business travel- sea</v>
          </cell>
          <cell r="H58" t="b">
            <v>1</v>
          </cell>
        </row>
        <row r="59">
          <cell r="G59" t="str">
            <v>Business travel- land</v>
          </cell>
          <cell r="H59" t="b">
            <v>1</v>
          </cell>
        </row>
        <row r="60">
          <cell r="G60" t="str">
            <v>WTT- pass vehs &amp; travel- land</v>
          </cell>
          <cell r="H60" t="b">
            <v>1</v>
          </cell>
        </row>
        <row r="61">
          <cell r="G61" t="str">
            <v>Freighting goods</v>
          </cell>
          <cell r="H61" t="b">
            <v>1</v>
          </cell>
        </row>
        <row r="62">
          <cell r="G62" t="str">
            <v>WTT- delivery vehs &amp; freight</v>
          </cell>
          <cell r="H62" t="b">
            <v>1</v>
          </cell>
        </row>
        <row r="63">
          <cell r="G63" t="str">
            <v>Hotel stay</v>
          </cell>
          <cell r="H63" t="b">
            <v>0</v>
          </cell>
        </row>
        <row r="64">
          <cell r="G64" t="str">
            <v>Managed assets- electricity</v>
          </cell>
          <cell r="H64" t="b">
            <v>1</v>
          </cell>
        </row>
        <row r="65">
          <cell r="G65" t="str">
            <v>Managed assets- vehicles</v>
          </cell>
          <cell r="H65" t="b">
            <v>1</v>
          </cell>
        </row>
        <row r="66">
          <cell r="G66" t="str">
            <v>Homeworking</v>
          </cell>
          <cell r="H66" t="b">
            <v>1</v>
          </cell>
        </row>
        <row r="67">
          <cell r="G67" t="str">
            <v>Outside of scopes</v>
          </cell>
          <cell r="H67" t="b">
            <v>1</v>
          </cell>
        </row>
      </sheetData>
      <sheetData sheetId="6"/>
      <sheetData sheetId="7">
        <row r="21">
          <cell r="A21">
            <v>1</v>
          </cell>
        </row>
      </sheetData>
      <sheetData sheetId="8"/>
      <sheetData sheetId="9">
        <row r="1">
          <cell r="A1" t="str">
            <v>UK Government GHG Conversion Factors for Company Reporting</v>
          </cell>
        </row>
      </sheetData>
      <sheetData sheetId="10">
        <row r="1">
          <cell r="A1" t="str">
            <v>UK Government GHG Conversion Factors for Company Reporting</v>
          </cell>
        </row>
      </sheetData>
      <sheetData sheetId="11">
        <row r="1">
          <cell r="A1" t="str">
            <v>UK Government GHG Conversion Factors for Company Reporting</v>
          </cell>
        </row>
      </sheetData>
      <sheetData sheetId="12">
        <row r="1">
          <cell r="A1" t="str">
            <v>UK Government GHG Conversion Factors for Company Reporting</v>
          </cell>
        </row>
      </sheetData>
      <sheetData sheetId="13">
        <row r="1">
          <cell r="A1" t="str">
            <v>UK Government GHG Conversion Factors for Company Reporting</v>
          </cell>
        </row>
      </sheetData>
      <sheetData sheetId="14">
        <row r="1">
          <cell r="A1" t="str">
            <v>UK Government GHG Conversion Factors for Company Reporting</v>
          </cell>
        </row>
      </sheetData>
      <sheetData sheetId="15">
        <row r="1">
          <cell r="A1" t="str">
            <v>UK Government GHG Conversion Factors for Company Reporting</v>
          </cell>
        </row>
      </sheetData>
      <sheetData sheetId="16"/>
      <sheetData sheetId="17">
        <row r="1">
          <cell r="A1" t="str">
            <v>UK Government GHG Conversion Factors for Company Reporting</v>
          </cell>
        </row>
      </sheetData>
      <sheetData sheetId="18">
        <row r="1">
          <cell r="A1" t="str">
            <v>UK Government GHG Conversion Factors for Company Reporting</v>
          </cell>
        </row>
      </sheetData>
      <sheetData sheetId="19">
        <row r="1">
          <cell r="A1" t="str">
            <v>UK Government GHG Conversion Factors for Company Reporting</v>
          </cell>
        </row>
      </sheetData>
      <sheetData sheetId="20">
        <row r="1">
          <cell r="A1" t="str">
            <v>UK Government GHG Conversion Factors for Company Reporting</v>
          </cell>
        </row>
      </sheetData>
      <sheetData sheetId="21">
        <row r="1">
          <cell r="A1" t="str">
            <v>UK Government GHG Conversion Factors for Company Reporting</v>
          </cell>
        </row>
      </sheetData>
      <sheetData sheetId="22">
        <row r="1">
          <cell r="A1" t="str">
            <v>UK Government GHG Conversion Factors for Company Reporting</v>
          </cell>
        </row>
      </sheetData>
      <sheetData sheetId="23">
        <row r="1">
          <cell r="A1" t="str">
            <v>UK Government GHG Conversion Factors for Company Reporting</v>
          </cell>
        </row>
      </sheetData>
      <sheetData sheetId="24">
        <row r="1">
          <cell r="A1" t="str">
            <v>UK Government GHG Conversion Factors for Company Reporting</v>
          </cell>
        </row>
      </sheetData>
      <sheetData sheetId="25">
        <row r="1">
          <cell r="A1" t="str">
            <v>UK Government GHG Conversion Factors for Company Reporting</v>
          </cell>
        </row>
      </sheetData>
      <sheetData sheetId="26">
        <row r="1">
          <cell r="A1" t="str">
            <v>UK Government GHG Conversion Factors for Company Reporting</v>
          </cell>
        </row>
      </sheetData>
      <sheetData sheetId="27">
        <row r="1">
          <cell r="A1" t="str">
            <v>UK Government GHG Conversion Factors for Company Reporting</v>
          </cell>
        </row>
      </sheetData>
      <sheetData sheetId="28">
        <row r="1">
          <cell r="A1" t="str">
            <v>UK Government GHG Conversion Factors for Company Reporting</v>
          </cell>
        </row>
      </sheetData>
      <sheetData sheetId="29">
        <row r="1">
          <cell r="A1" t="str">
            <v>UK Government GHG Conversion Factors for Company Reporting</v>
          </cell>
        </row>
      </sheetData>
      <sheetData sheetId="30">
        <row r="1">
          <cell r="A1" t="str">
            <v>UK Government GHG Conversion Factors for Company Reporting</v>
          </cell>
        </row>
      </sheetData>
      <sheetData sheetId="31">
        <row r="1">
          <cell r="A1" t="str">
            <v>UK Government GHG Conversion Factors for Company Reporting</v>
          </cell>
        </row>
      </sheetData>
      <sheetData sheetId="32">
        <row r="1">
          <cell r="A1" t="str">
            <v>UK Government GHG Conversion Factors for Company Reporting</v>
          </cell>
        </row>
      </sheetData>
      <sheetData sheetId="33">
        <row r="1">
          <cell r="A1" t="str">
            <v>UK Government GHG Conversion Factors for Company Reporting</v>
          </cell>
        </row>
      </sheetData>
      <sheetData sheetId="34">
        <row r="1">
          <cell r="A1" t="str">
            <v>UK Government GHG Conversion Factors for Company Reporting</v>
          </cell>
        </row>
      </sheetData>
      <sheetData sheetId="35">
        <row r="1">
          <cell r="A1" t="str">
            <v>UK Government GHG Conversion Factors for Company Reporting</v>
          </cell>
        </row>
      </sheetData>
      <sheetData sheetId="36">
        <row r="1">
          <cell r="A1" t="str">
            <v>UK Government GHG Conversion Factors for Company Reporting</v>
          </cell>
        </row>
      </sheetData>
      <sheetData sheetId="37">
        <row r="1">
          <cell r="A1" t="str">
            <v>UK Government GHG Conversion Factors for Company Reporting</v>
          </cell>
        </row>
      </sheetData>
      <sheetData sheetId="38">
        <row r="1">
          <cell r="A1" t="str">
            <v>UK Government GHG Conversion Factors for Company Reporting</v>
          </cell>
        </row>
      </sheetData>
      <sheetData sheetId="39">
        <row r="1">
          <cell r="A1" t="str">
            <v>UK Government GHG Conversion Factors for Company Reporting</v>
          </cell>
        </row>
      </sheetData>
      <sheetData sheetId="40">
        <row r="1">
          <cell r="A1" t="str">
            <v>UK Government GHG Conversion Factors for Company Reporting</v>
          </cell>
        </row>
      </sheetData>
      <sheetData sheetId="41">
        <row r="1">
          <cell r="A1" t="str">
            <v>UK Government GHG Conversion Factors for Company Reporting</v>
          </cell>
        </row>
      </sheetData>
      <sheetData sheetId="42">
        <row r="1">
          <cell r="A1" t="str">
            <v>UK Government GHG Conversion Factors for Company Reporting</v>
          </cell>
        </row>
      </sheetData>
      <sheetData sheetId="43"/>
      <sheetData sheetId="44">
        <row r="1">
          <cell r="A1" t="str">
            <v>UK Government GHG Conversion Factors for Company Reporting</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819B51-383B-44F3-8C9E-CD51BDFFAAEF}" name="Site_Summary" displayName="Site_Summary" ref="A1:I145" totalsRowShown="0" headerRowDxfId="8" headerRowBorderDxfId="7" tableBorderDxfId="6" totalsRowBorderDxfId="5" headerRowCellStyle="Normal 2">
  <autoFilter ref="A1:I145" xr:uid="{B1819B51-383B-44F3-8C9E-CD51BDFFAAEF}"/>
  <tableColumns count="9">
    <tableColumn id="1" xr3:uid="{575CA1D7-9C83-4C7E-BF30-38391363DBD0}" name="Month" dataDxfId="2"/>
    <tableColumn id="9" xr3:uid="{573155F9-39A3-4ADA-9803-BC28700C7445}" name="Financial Year" dataDxfId="0" dataCellStyle="Normal 2"/>
    <tableColumn id="2" xr3:uid="{B9BEB46F-D648-4791-AACE-299043D48481}" name="Site" dataDxfId="1"/>
    <tableColumn id="3" xr3:uid="{16E7EDE8-FB4D-41C6-937C-B986F5840F8E}" name="Electricity (kWh)"/>
    <tableColumn id="5" xr3:uid="{AB39601B-C38A-463B-A967-42E72DA88A83}" name="Electricity (tCO2e)"/>
    <tableColumn id="7" xr3:uid="{171304F9-D9C1-49FC-960B-B87E1401A7B1}" name="Electricity Spend (£)" dataCellStyle="Currency"/>
    <tableColumn id="4" xr3:uid="{0F4492E1-2AE3-4054-A00C-F49241762D2E}" name="Gas (kWh)"/>
    <tableColumn id="6" xr3:uid="{C0F5FA73-B055-42E3-8300-32D26AF3A564}" name="Gas (tCO2e)" dataDxfId="4"/>
    <tableColumn id="8" xr3:uid="{67D107FC-506E-4159-934B-2E1EB7C7C343}" name="Gas Spend (£)"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6370A1-6A0C-4E7B-BFA5-246CCA561600}" name="HDD_18.5C" displayName="HDD_18.5C" ref="A7:C43" totalsRowShown="0">
  <autoFilter ref="A7:C43" xr:uid="{866370A1-6A0C-4E7B-BFA5-246CCA561600}"/>
  <tableColumns count="3">
    <tableColumn id="1" xr3:uid="{6CE3C225-9BE0-4959-8BA2-87F6E2DA04BF}" name="Month starting" dataDxfId="3"/>
    <tableColumn id="2" xr3:uid="{00A642A6-B9F0-44A2-A1BE-A616E3DF9712}" name="HDD 18.5"/>
    <tableColumn id="3" xr3:uid="{574CB167-E321-46AF-A571-4244669C5914}" name="% Estim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www.ghgprotocol.org/corporate-standard" TargetMode="Externa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www.ghgprotocol.org/corporate-standard" TargetMode="Externa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7B882-092E-4B65-A4E4-A450A0D0DB58}">
  <dimension ref="B2:D19"/>
  <sheetViews>
    <sheetView workbookViewId="0">
      <selection activeCell="D26" sqref="D26"/>
    </sheetView>
  </sheetViews>
  <sheetFormatPr defaultRowHeight="15" x14ac:dyDescent="0.25"/>
  <cols>
    <col min="2" max="2" width="14.42578125" bestFit="1" customWidth="1"/>
    <col min="3" max="3" width="11.5703125" bestFit="1" customWidth="1"/>
    <col min="4" max="4" width="12.28515625" bestFit="1" customWidth="1"/>
  </cols>
  <sheetData>
    <row r="2" spans="2:4" x14ac:dyDescent="0.25">
      <c r="B2" s="98" t="s">
        <v>168</v>
      </c>
    </row>
    <row r="3" spans="2:4" x14ac:dyDescent="0.25">
      <c r="B3" s="13" t="s">
        <v>50</v>
      </c>
      <c r="C3" s="13" t="s">
        <v>56</v>
      </c>
      <c r="D3" s="13" t="s">
        <v>57</v>
      </c>
    </row>
    <row r="4" spans="2:4" x14ac:dyDescent="0.25">
      <c r="B4" s="104" t="s">
        <v>53</v>
      </c>
      <c r="C4" s="96" t="s">
        <v>51</v>
      </c>
      <c r="D4" s="97">
        <f>'UK electricity 23'!E24/1000</f>
        <v>2.0707428859060404E-4</v>
      </c>
    </row>
    <row r="5" spans="2:4" x14ac:dyDescent="0.25">
      <c r="B5" s="104"/>
      <c r="C5" s="96" t="s">
        <v>52</v>
      </c>
      <c r="D5" s="97">
        <f>'Fuels 23'!D42/1000</f>
        <v>1.8292892617449667E-4</v>
      </c>
    </row>
    <row r="6" spans="2:4" x14ac:dyDescent="0.25">
      <c r="B6" s="104" t="s">
        <v>54</v>
      </c>
      <c r="C6" s="96" t="s">
        <v>51</v>
      </c>
      <c r="D6" s="97">
        <f>'UK electricity 24'!E25/1000</f>
        <v>2.0705000000000002E-4</v>
      </c>
    </row>
    <row r="7" spans="2:4" x14ac:dyDescent="0.25">
      <c r="B7" s="104"/>
      <c r="C7" s="96" t="s">
        <v>52</v>
      </c>
      <c r="D7" s="97">
        <f>'Fuels 24'!D42/1000</f>
        <v>1.829E-4</v>
      </c>
    </row>
    <row r="8" spans="2:4" x14ac:dyDescent="0.25">
      <c r="B8" s="104" t="s">
        <v>55</v>
      </c>
      <c r="C8" s="96" t="s">
        <v>51</v>
      </c>
      <c r="D8" s="97">
        <f>'UK electricity 25'!E26/1000</f>
        <v>1.7699999999999999E-4</v>
      </c>
    </row>
    <row r="9" spans="2:4" x14ac:dyDescent="0.25">
      <c r="B9" s="104"/>
      <c r="C9" s="96" t="s">
        <v>52</v>
      </c>
      <c r="D9" s="97">
        <f>'Fuels 25'!D42/1000</f>
        <v>1.8296000000000002E-4</v>
      </c>
    </row>
    <row r="12" spans="2:4" x14ac:dyDescent="0.25">
      <c r="B12" s="98" t="s">
        <v>170</v>
      </c>
    </row>
    <row r="13" spans="2:4" x14ac:dyDescent="0.25">
      <c r="B13" s="100" t="s">
        <v>50</v>
      </c>
      <c r="C13" s="100" t="s">
        <v>56</v>
      </c>
      <c r="D13" s="100" t="s">
        <v>169</v>
      </c>
    </row>
    <row r="14" spans="2:4" x14ac:dyDescent="0.25">
      <c r="B14" s="104" t="s">
        <v>53</v>
      </c>
      <c r="C14" s="96" t="s">
        <v>51</v>
      </c>
      <c r="D14" s="99">
        <v>0.28000000000000003</v>
      </c>
    </row>
    <row r="15" spans="2:4" x14ac:dyDescent="0.25">
      <c r="B15" s="104"/>
      <c r="C15" s="96" t="s">
        <v>52</v>
      </c>
      <c r="D15" s="99">
        <v>0.08</v>
      </c>
    </row>
    <row r="16" spans="2:4" x14ac:dyDescent="0.25">
      <c r="B16" s="104" t="s">
        <v>54</v>
      </c>
      <c r="C16" s="96" t="s">
        <v>51</v>
      </c>
      <c r="D16" s="99">
        <v>0.26</v>
      </c>
    </row>
    <row r="17" spans="2:4" x14ac:dyDescent="0.25">
      <c r="B17" s="104"/>
      <c r="C17" s="96" t="s">
        <v>52</v>
      </c>
      <c r="D17" s="99">
        <v>7.4999999999999997E-2</v>
      </c>
    </row>
    <row r="18" spans="2:4" x14ac:dyDescent="0.25">
      <c r="B18" s="104" t="s">
        <v>55</v>
      </c>
      <c r="C18" s="96" t="s">
        <v>51</v>
      </c>
      <c r="D18" s="99">
        <v>0.25</v>
      </c>
    </row>
    <row r="19" spans="2:4" x14ac:dyDescent="0.25">
      <c r="B19" s="104"/>
      <c r="C19" s="96" t="s">
        <v>52</v>
      </c>
      <c r="D19" s="99">
        <v>6.5000000000000002E-2</v>
      </c>
    </row>
  </sheetData>
  <mergeCells count="6">
    <mergeCell ref="B16:B17"/>
    <mergeCell ref="B18:B19"/>
    <mergeCell ref="B4:B5"/>
    <mergeCell ref="B6:B7"/>
    <mergeCell ref="B8:B9"/>
    <mergeCell ref="B14: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9E83-6C54-4B62-9D5E-6951434273C4}">
  <dimension ref="A1:I145"/>
  <sheetViews>
    <sheetView tabSelected="1" zoomScaleNormal="100" workbookViewId="0">
      <selection activeCell="J7" sqref="J7"/>
    </sheetView>
  </sheetViews>
  <sheetFormatPr defaultRowHeight="15" x14ac:dyDescent="0.25"/>
  <cols>
    <col min="1" max="1" width="12" bestFit="1" customWidth="1"/>
    <col min="2" max="2" width="20" bestFit="1" customWidth="1"/>
    <col min="3" max="3" width="9.5703125" bestFit="1" customWidth="1"/>
    <col min="4" max="4" width="22.140625" bestFit="1" customWidth="1"/>
    <col min="5" max="5" width="24.28515625" bestFit="1" customWidth="1"/>
    <col min="6" max="6" width="26.28515625" bestFit="1" customWidth="1"/>
    <col min="7" max="7" width="15.85546875" bestFit="1" customWidth="1"/>
    <col min="8" max="8" width="18.140625" bestFit="1" customWidth="1"/>
    <col min="9" max="9" width="20" bestFit="1" customWidth="1"/>
  </cols>
  <sheetData>
    <row r="1" spans="1:9" x14ac:dyDescent="0.25">
      <c r="A1" s="10" t="s">
        <v>44</v>
      </c>
      <c r="B1" s="11" t="s">
        <v>184</v>
      </c>
      <c r="C1" s="11" t="s">
        <v>45</v>
      </c>
      <c r="D1" s="11" t="s">
        <v>37</v>
      </c>
      <c r="E1" s="11" t="s">
        <v>46</v>
      </c>
      <c r="F1" s="11" t="s">
        <v>48</v>
      </c>
      <c r="G1" s="12" t="s">
        <v>36</v>
      </c>
      <c r="H1" s="11" t="s">
        <v>47</v>
      </c>
      <c r="I1" s="11" t="s">
        <v>49</v>
      </c>
    </row>
    <row r="2" spans="1:9" x14ac:dyDescent="0.25">
      <c r="A2" s="6" t="s">
        <v>35</v>
      </c>
      <c r="B2" s="147" t="s">
        <v>185</v>
      </c>
      <c r="C2" s="2" t="s">
        <v>43</v>
      </c>
      <c r="D2" s="3">
        <v>444337.32</v>
      </c>
      <c r="E2" s="3">
        <f>Site_Summary[[#This Row],[Electricity (kWh)]]*'Information and Variables'!$D$4</f>
        <v>92.010834433255582</v>
      </c>
      <c r="F2" s="101">
        <f>Site_Summary[[#This Row],[Electricity (kWh)]]*'Information and Variables'!$D$14</f>
        <v>124414.44960000001</v>
      </c>
      <c r="G2" s="8">
        <v>446053.72</v>
      </c>
      <c r="H2" s="3">
        <f>Site_Summary[[#This Row],[Gas (kWh)]]*'Information and Variables'!$D$5</f>
        <v>81.596128015739609</v>
      </c>
      <c r="I2" s="101">
        <f>Site_Summary[[#This Row],[Gas (kWh)]]*'Information and Variables'!$D$15</f>
        <v>35684.297599999998</v>
      </c>
    </row>
    <row r="3" spans="1:9" x14ac:dyDescent="0.25">
      <c r="A3" s="7" t="s">
        <v>35</v>
      </c>
      <c r="B3" s="148" t="s">
        <v>185</v>
      </c>
      <c r="C3" s="4" t="s">
        <v>42</v>
      </c>
      <c r="D3" s="5">
        <v>340707.47</v>
      </c>
      <c r="E3" s="5">
        <f>Site_Summary[[#This Row],[Electricity (kWh)]]*'Information and Variables'!$D$4</f>
        <v>70.551756967754557</v>
      </c>
      <c r="F3" s="102">
        <f>Site_Summary[[#This Row],[Electricity (kWh)]]*'Information and Variables'!$D$14</f>
        <v>95398.0916</v>
      </c>
      <c r="G3" s="9">
        <v>294275.02</v>
      </c>
      <c r="H3" s="5">
        <f>Site_Summary[[#This Row],[Gas (kWh)]]*'Information and Variables'!$D$5</f>
        <v>53.831413408578534</v>
      </c>
      <c r="I3" s="102">
        <f>Site_Summary[[#This Row],[Gas (kWh)]]*'Information and Variables'!$D$15</f>
        <v>23542.001600000003</v>
      </c>
    </row>
    <row r="4" spans="1:9" x14ac:dyDescent="0.25">
      <c r="A4" s="6" t="s">
        <v>35</v>
      </c>
      <c r="B4" s="147" t="s">
        <v>185</v>
      </c>
      <c r="C4" s="2" t="s">
        <v>41</v>
      </c>
      <c r="D4" s="3">
        <v>210951.87</v>
      </c>
      <c r="E4" s="3">
        <f>Site_Summary[[#This Row],[Electricity (kWh)]]*'Information and Variables'!$D$4</f>
        <v>43.682708407107583</v>
      </c>
      <c r="F4" s="101">
        <f>Site_Summary[[#This Row],[Electricity (kWh)]]*'Information and Variables'!$D$14</f>
        <v>59066.523600000008</v>
      </c>
      <c r="G4" s="8">
        <v>222240.25</v>
      </c>
      <c r="H4" s="3">
        <f>Site_Summary[[#This Row],[Gas (kWh)]]*'Information and Variables'!$D$5</f>
        <v>40.654170285251681</v>
      </c>
      <c r="I4" s="101">
        <f>Site_Summary[[#This Row],[Gas (kWh)]]*'Information and Variables'!$D$15</f>
        <v>17779.22</v>
      </c>
    </row>
    <row r="5" spans="1:9" x14ac:dyDescent="0.25">
      <c r="A5" s="7" t="s">
        <v>35</v>
      </c>
      <c r="B5" s="148" t="s">
        <v>185</v>
      </c>
      <c r="C5" s="4" t="s">
        <v>40</v>
      </c>
      <c r="D5" s="5">
        <v>98532.56</v>
      </c>
      <c r="E5" s="5">
        <f>Site_Summary[[#This Row],[Electricity (kWh)]]*'Information and Variables'!$D$4</f>
        <v>20.403559765011007</v>
      </c>
      <c r="F5" s="102">
        <f>Site_Summary[[#This Row],[Electricity (kWh)]]*'Information and Variables'!$D$14</f>
        <v>27589.116800000003</v>
      </c>
      <c r="G5" s="9">
        <v>95581.08</v>
      </c>
      <c r="H5" s="5">
        <f>Site_Summary[[#This Row],[Gas (kWh)]]*'Information and Variables'!$D$5</f>
        <v>17.484544326998659</v>
      </c>
      <c r="I5" s="102">
        <f>Site_Summary[[#This Row],[Gas (kWh)]]*'Information and Variables'!$D$15</f>
        <v>7646.4864000000007</v>
      </c>
    </row>
    <row r="6" spans="1:9" x14ac:dyDescent="0.25">
      <c r="A6" s="6" t="s">
        <v>34</v>
      </c>
      <c r="B6" s="147" t="s">
        <v>185</v>
      </c>
      <c r="C6" s="2" t="s">
        <v>43</v>
      </c>
      <c r="D6" s="3">
        <v>395421.49</v>
      </c>
      <c r="E6" s="3">
        <f>Site_Summary[[#This Row],[Electricity (kWh)]]*'Information and Variables'!$D$4</f>
        <v>81.88162373518665</v>
      </c>
      <c r="F6" s="101">
        <f>Site_Summary[[#This Row],[Electricity (kWh)]]*'Information and Variables'!$D$14</f>
        <v>110718.0172</v>
      </c>
      <c r="G6" s="8">
        <v>339439.56</v>
      </c>
      <c r="H6" s="3">
        <f>Site_Summary[[#This Row],[Gas (kWh)]]*'Information and Variables'!$D$5</f>
        <v>62.093314211943635</v>
      </c>
      <c r="I6" s="101">
        <f>Site_Summary[[#This Row],[Gas (kWh)]]*'Information and Variables'!$D$15</f>
        <v>27155.164799999999</v>
      </c>
    </row>
    <row r="7" spans="1:9" x14ac:dyDescent="0.25">
      <c r="A7" s="7" t="s">
        <v>34</v>
      </c>
      <c r="B7" s="148" t="s">
        <v>185</v>
      </c>
      <c r="C7" s="4" t="s">
        <v>42</v>
      </c>
      <c r="D7" s="5">
        <v>306897.5</v>
      </c>
      <c r="E7" s="5">
        <f>Site_Summary[[#This Row],[Electricity (kWh)]]*'Information and Variables'!$D$4</f>
        <v>63.550581482734906</v>
      </c>
      <c r="F7" s="102">
        <f>Site_Summary[[#This Row],[Electricity (kWh)]]*'Information and Variables'!$D$14</f>
        <v>85931.3</v>
      </c>
      <c r="G7" s="9">
        <v>218436.96</v>
      </c>
      <c r="H7" s="5">
        <f>Site_Summary[[#This Row],[Gas (kWh)]]*'Information and Variables'!$D$5</f>
        <v>39.958438529621482</v>
      </c>
      <c r="I7" s="102">
        <f>Site_Summary[[#This Row],[Gas (kWh)]]*'Information and Variables'!$D$15</f>
        <v>17474.9568</v>
      </c>
    </row>
    <row r="8" spans="1:9" x14ac:dyDescent="0.25">
      <c r="A8" s="6" t="s">
        <v>34</v>
      </c>
      <c r="B8" s="147" t="s">
        <v>185</v>
      </c>
      <c r="C8" s="2" t="s">
        <v>41</v>
      </c>
      <c r="D8" s="3">
        <v>216746.84</v>
      </c>
      <c r="E8" s="3">
        <f>Site_Summary[[#This Row],[Electricity (kWh)]]*'Information and Variables'!$D$4</f>
        <v>44.882697697261477</v>
      </c>
      <c r="F8" s="101">
        <f>Site_Summary[[#This Row],[Electricity (kWh)]]*'Information and Variables'!$D$14</f>
        <v>60689.115200000007</v>
      </c>
      <c r="G8" s="8">
        <v>181802.75</v>
      </c>
      <c r="H8" s="3">
        <f>Site_Summary[[#This Row],[Gas (kWh)]]*'Information and Variables'!$D$5</f>
        <v>33.256981833070476</v>
      </c>
      <c r="I8" s="101">
        <f>Site_Summary[[#This Row],[Gas (kWh)]]*'Information and Variables'!$D$15</f>
        <v>14544.220000000001</v>
      </c>
    </row>
    <row r="9" spans="1:9" x14ac:dyDescent="0.25">
      <c r="A9" s="7" t="s">
        <v>34</v>
      </c>
      <c r="B9" s="148" t="s">
        <v>185</v>
      </c>
      <c r="C9" s="4" t="s">
        <v>40</v>
      </c>
      <c r="D9" s="5">
        <v>106049.09</v>
      </c>
      <c r="E9" s="5">
        <f>Site_Summary[[#This Row],[Electricity (kWh)]]*'Information and Variables'!$D$4</f>
        <v>21.96003986743094</v>
      </c>
      <c r="F9" s="102">
        <f>Site_Summary[[#This Row],[Electricity (kWh)]]*'Information and Variables'!$D$14</f>
        <v>29693.745200000001</v>
      </c>
      <c r="G9" s="9">
        <v>82340.86</v>
      </c>
      <c r="H9" s="5">
        <f>Site_Summary[[#This Row],[Gas (kWh)]]*'Information and Variables'!$D$5</f>
        <v>15.062525100084565</v>
      </c>
      <c r="I9" s="102">
        <f>Site_Summary[[#This Row],[Gas (kWh)]]*'Information and Variables'!$D$15</f>
        <v>6587.2687999999998</v>
      </c>
    </row>
    <row r="10" spans="1:9" x14ac:dyDescent="0.25">
      <c r="A10" s="6" t="s">
        <v>33</v>
      </c>
      <c r="B10" s="147" t="s">
        <v>185</v>
      </c>
      <c r="C10" s="2" t="s">
        <v>43</v>
      </c>
      <c r="D10" s="3">
        <v>387104.17</v>
      </c>
      <c r="E10" s="3">
        <f>Site_Summary[[#This Row],[Electricity (kWh)]]*'Information and Variables'!$D$4</f>
        <v>80.159320613206248</v>
      </c>
      <c r="F10" s="101">
        <f>Site_Summary[[#This Row],[Electricity (kWh)]]*'Information and Variables'!$D$14</f>
        <v>108389.1676</v>
      </c>
      <c r="G10" s="8">
        <v>312971.58</v>
      </c>
      <c r="H10" s="3">
        <f>Site_Summary[[#This Row],[Gas (kWh)]]*'Information and Variables'!$D$5</f>
        <v>57.251555052535579</v>
      </c>
      <c r="I10" s="101">
        <f>Site_Summary[[#This Row],[Gas (kWh)]]*'Information and Variables'!$D$15</f>
        <v>25037.726400000003</v>
      </c>
    </row>
    <row r="11" spans="1:9" x14ac:dyDescent="0.25">
      <c r="A11" s="7" t="s">
        <v>33</v>
      </c>
      <c r="B11" s="148" t="s">
        <v>185</v>
      </c>
      <c r="C11" s="4" t="s">
        <v>42</v>
      </c>
      <c r="D11" s="5">
        <v>305632.28999999998</v>
      </c>
      <c r="E11" s="5">
        <f>Site_Summary[[#This Row],[Electricity (kWh)]]*'Information and Variables'!$D$4</f>
        <v>63.288589022067178</v>
      </c>
      <c r="F11" s="102">
        <f>Site_Summary[[#This Row],[Electricity (kWh)]]*'Information and Variables'!$D$14</f>
        <v>85577.041200000007</v>
      </c>
      <c r="G11" s="9">
        <v>184767.82</v>
      </c>
      <c r="H11" s="5">
        <f>Site_Summary[[#This Row],[Gas (kWh)]]*'Information and Variables'!$D$5</f>
        <v>33.79937890420269</v>
      </c>
      <c r="I11" s="102">
        <f>Site_Summary[[#This Row],[Gas (kWh)]]*'Information and Variables'!$D$15</f>
        <v>14781.4256</v>
      </c>
    </row>
    <row r="12" spans="1:9" x14ac:dyDescent="0.25">
      <c r="A12" s="6" t="s">
        <v>33</v>
      </c>
      <c r="B12" s="147" t="s">
        <v>185</v>
      </c>
      <c r="C12" s="2" t="s">
        <v>41</v>
      </c>
      <c r="D12" s="3">
        <v>228579.68</v>
      </c>
      <c r="E12" s="3">
        <f>Site_Summary[[#This Row],[Electricity (kWh)]]*'Information and Variables'!$D$4</f>
        <v>47.332974622267919</v>
      </c>
      <c r="F12" s="101">
        <f>Site_Summary[[#This Row],[Electricity (kWh)]]*'Information and Variables'!$D$14</f>
        <v>64002.310400000002</v>
      </c>
      <c r="G12" s="8">
        <v>142706.65</v>
      </c>
      <c r="H12" s="3">
        <f>Site_Summary[[#This Row],[Gas (kWh)]]*'Information and Variables'!$D$5</f>
        <v>26.105174242459732</v>
      </c>
      <c r="I12" s="101">
        <f>Site_Summary[[#This Row],[Gas (kWh)]]*'Information and Variables'!$D$15</f>
        <v>11416.531999999999</v>
      </c>
    </row>
    <row r="13" spans="1:9" x14ac:dyDescent="0.25">
      <c r="A13" s="7" t="s">
        <v>33</v>
      </c>
      <c r="B13" s="148" t="s">
        <v>185</v>
      </c>
      <c r="C13" s="4" t="s">
        <v>40</v>
      </c>
      <c r="D13" s="5">
        <v>112128.81</v>
      </c>
      <c r="E13" s="5">
        <f>Site_Summary[[#This Row],[Electricity (kWh)]]*'Information and Variables'!$D$4</f>
        <v>23.218993561261009</v>
      </c>
      <c r="F13" s="102">
        <f>Site_Summary[[#This Row],[Electricity (kWh)]]*'Information and Variables'!$D$14</f>
        <v>31396.066800000004</v>
      </c>
      <c r="G13" s="9">
        <v>76813.429999999993</v>
      </c>
      <c r="H13" s="5">
        <f>Site_Summary[[#This Row],[Gas (kWh)]]*'Information and Variables'!$D$5</f>
        <v>14.051398265679866</v>
      </c>
      <c r="I13" s="102">
        <f>Site_Summary[[#This Row],[Gas (kWh)]]*'Information and Variables'!$D$15</f>
        <v>6145.0743999999995</v>
      </c>
    </row>
    <row r="14" spans="1:9" x14ac:dyDescent="0.25">
      <c r="A14" s="6" t="s">
        <v>32</v>
      </c>
      <c r="B14" s="147" t="s">
        <v>185</v>
      </c>
      <c r="C14" s="2" t="s">
        <v>43</v>
      </c>
      <c r="D14" s="3">
        <v>433222.17</v>
      </c>
      <c r="E14" s="3">
        <f>Site_Summary[[#This Row],[Electricity (kWh)]]*'Information and Variables'!$D$4</f>
        <v>89.709172654427718</v>
      </c>
      <c r="F14" s="101">
        <f>Site_Summary[[#This Row],[Electricity (kWh)]]*'Information and Variables'!$D$14</f>
        <v>121302.20760000001</v>
      </c>
      <c r="G14" s="8">
        <v>303750.51</v>
      </c>
      <c r="H14" s="3">
        <f>Site_Summary[[#This Row],[Gas (kWh)]]*'Information and Variables'!$D$5</f>
        <v>55.564754619255716</v>
      </c>
      <c r="I14" s="101">
        <f>Site_Summary[[#This Row],[Gas (kWh)]]*'Information and Variables'!$D$15</f>
        <v>24300.040800000002</v>
      </c>
    </row>
    <row r="15" spans="1:9" x14ac:dyDescent="0.25">
      <c r="A15" s="7" t="s">
        <v>32</v>
      </c>
      <c r="B15" s="148" t="s">
        <v>185</v>
      </c>
      <c r="C15" s="4" t="s">
        <v>42</v>
      </c>
      <c r="D15" s="5">
        <v>332226.65000000002</v>
      </c>
      <c r="E15" s="5">
        <f>Site_Summary[[#This Row],[Electricity (kWh)]]*'Information and Variables'!$D$4</f>
        <v>68.795597199589608</v>
      </c>
      <c r="F15" s="102">
        <f>Site_Summary[[#This Row],[Electricity (kWh)]]*'Information and Variables'!$D$14</f>
        <v>93023.462000000014</v>
      </c>
      <c r="G15" s="9">
        <v>196729.37</v>
      </c>
      <c r="H15" s="5">
        <f>Site_Summary[[#This Row],[Gas (kWh)]]*'Information and Variables'!$D$5</f>
        <v>35.987492401085241</v>
      </c>
      <c r="I15" s="102">
        <f>Site_Summary[[#This Row],[Gas (kWh)]]*'Information and Variables'!$D$15</f>
        <v>15738.3496</v>
      </c>
    </row>
    <row r="16" spans="1:9" x14ac:dyDescent="0.25">
      <c r="A16" s="6" t="s">
        <v>32</v>
      </c>
      <c r="B16" s="147" t="s">
        <v>185</v>
      </c>
      <c r="C16" s="2" t="s">
        <v>41</v>
      </c>
      <c r="D16" s="3">
        <v>204390.94</v>
      </c>
      <c r="E16" s="3">
        <f>Site_Summary[[#This Row],[Electricity (kWh)]]*'Information and Variables'!$D$4</f>
        <v>42.324108494864838</v>
      </c>
      <c r="F16" s="101">
        <f>Site_Summary[[#This Row],[Electricity (kWh)]]*'Information and Variables'!$D$14</f>
        <v>57229.463200000006</v>
      </c>
      <c r="G16" s="8">
        <v>151194.84</v>
      </c>
      <c r="H16" s="3">
        <f>Site_Summary[[#This Row],[Gas (kWh)]]*'Information and Variables'!$D$5</f>
        <v>27.657909724324835</v>
      </c>
      <c r="I16" s="101">
        <f>Site_Summary[[#This Row],[Gas (kWh)]]*'Information and Variables'!$D$15</f>
        <v>12095.5872</v>
      </c>
    </row>
    <row r="17" spans="1:9" x14ac:dyDescent="0.25">
      <c r="A17" s="7" t="s">
        <v>32</v>
      </c>
      <c r="B17" s="148" t="s">
        <v>185</v>
      </c>
      <c r="C17" s="4" t="s">
        <v>40</v>
      </c>
      <c r="D17" s="5">
        <v>111601.31</v>
      </c>
      <c r="E17" s="5">
        <f>Site_Summary[[#This Row],[Electricity (kWh)]]*'Information and Variables'!$D$4</f>
        <v>23.109761874029463</v>
      </c>
      <c r="F17" s="102">
        <f>Site_Summary[[#This Row],[Electricity (kWh)]]*'Information and Variables'!$D$14</f>
        <v>31248.366800000003</v>
      </c>
      <c r="G17" s="9">
        <v>68591.59</v>
      </c>
      <c r="H17" s="5">
        <f>Site_Summary[[#This Row],[Gas (kWh)]]*'Information and Variables'!$D$5</f>
        <v>12.547385903301343</v>
      </c>
      <c r="I17" s="102">
        <f>Site_Summary[[#This Row],[Gas (kWh)]]*'Information and Variables'!$D$15</f>
        <v>5487.3271999999997</v>
      </c>
    </row>
    <row r="18" spans="1:9" x14ac:dyDescent="0.25">
      <c r="A18" s="6" t="s">
        <v>31</v>
      </c>
      <c r="B18" s="147" t="s">
        <v>185</v>
      </c>
      <c r="C18" s="2" t="s">
        <v>43</v>
      </c>
      <c r="D18" s="3">
        <v>383919.48</v>
      </c>
      <c r="E18" s="3">
        <f>Site_Summary[[#This Row],[Electricity (kWh)]]*'Information and Variables'!$D$4</f>
        <v>79.499853197074628</v>
      </c>
      <c r="F18" s="101">
        <f>Site_Summary[[#This Row],[Electricity (kWh)]]*'Information and Variables'!$D$14</f>
        <v>107497.4544</v>
      </c>
      <c r="G18" s="8">
        <v>319021.65000000002</v>
      </c>
      <c r="H18" s="3">
        <f>Site_Summary[[#This Row],[Gas (kWh)]]*'Information and Variables'!$D$5</f>
        <v>58.358287860916121</v>
      </c>
      <c r="I18" s="101">
        <f>Site_Summary[[#This Row],[Gas (kWh)]]*'Information and Variables'!$D$15</f>
        <v>25521.732000000004</v>
      </c>
    </row>
    <row r="19" spans="1:9" x14ac:dyDescent="0.25">
      <c r="A19" s="7" t="s">
        <v>31</v>
      </c>
      <c r="B19" s="148" t="s">
        <v>185</v>
      </c>
      <c r="C19" s="4" t="s">
        <v>42</v>
      </c>
      <c r="D19" s="5">
        <v>342239.09</v>
      </c>
      <c r="E19" s="5">
        <f>Site_Summary[[#This Row],[Electricity (kWh)]]*'Information and Variables'!$D$4</f>
        <v>70.868916089645708</v>
      </c>
      <c r="F19" s="102">
        <f>Site_Summary[[#This Row],[Electricity (kWh)]]*'Information and Variables'!$D$14</f>
        <v>95826.945200000016</v>
      </c>
      <c r="G19" s="9">
        <v>190398.01</v>
      </c>
      <c r="H19" s="5">
        <f>Site_Summary[[#This Row],[Gas (kWh)]]*'Information and Variables'!$D$5</f>
        <v>34.829303515061078</v>
      </c>
      <c r="I19" s="102">
        <f>Site_Summary[[#This Row],[Gas (kWh)]]*'Information and Variables'!$D$15</f>
        <v>15231.840800000002</v>
      </c>
    </row>
    <row r="20" spans="1:9" x14ac:dyDescent="0.25">
      <c r="A20" s="6" t="s">
        <v>31</v>
      </c>
      <c r="B20" s="147" t="s">
        <v>185</v>
      </c>
      <c r="C20" s="2" t="s">
        <v>41</v>
      </c>
      <c r="D20" s="3">
        <v>214653.94</v>
      </c>
      <c r="E20" s="3">
        <f>Site_Summary[[#This Row],[Electricity (kWh)]]*'Information and Variables'!$D$4</f>
        <v>44.449311918670205</v>
      </c>
      <c r="F20" s="101">
        <f>Site_Summary[[#This Row],[Electricity (kWh)]]*'Information and Variables'!$D$14</f>
        <v>60103.103200000005</v>
      </c>
      <c r="G20" s="8">
        <v>132809.23000000001</v>
      </c>
      <c r="H20" s="3">
        <f>Site_Summary[[#This Row],[Gas (kWh)]]*'Information and Variables'!$D$5</f>
        <v>24.294649829961749</v>
      </c>
      <c r="I20" s="101">
        <f>Site_Summary[[#This Row],[Gas (kWh)]]*'Information and Variables'!$D$15</f>
        <v>10624.7384</v>
      </c>
    </row>
    <row r="21" spans="1:9" x14ac:dyDescent="0.25">
      <c r="A21" s="7" t="s">
        <v>31</v>
      </c>
      <c r="B21" s="148" t="s">
        <v>185</v>
      </c>
      <c r="C21" s="4" t="s">
        <v>40</v>
      </c>
      <c r="D21" s="5">
        <v>93064.35</v>
      </c>
      <c r="E21" s="5">
        <f>Site_Summary[[#This Row],[Electricity (kWh)]]*'Information and Variables'!$D$4</f>
        <v>19.271234069396982</v>
      </c>
      <c r="F21" s="102">
        <f>Site_Summary[[#This Row],[Electricity (kWh)]]*'Information and Variables'!$D$14</f>
        <v>26058.018000000004</v>
      </c>
      <c r="G21" s="9">
        <v>76452.740000000005</v>
      </c>
      <c r="H21" s="5">
        <f>Site_Summary[[#This Row],[Gas (kWh)]]*'Information and Variables'!$D$5</f>
        <v>13.98541763129799</v>
      </c>
      <c r="I21" s="102">
        <f>Site_Summary[[#This Row],[Gas (kWh)]]*'Information and Variables'!$D$15</f>
        <v>6116.2192000000005</v>
      </c>
    </row>
    <row r="22" spans="1:9" x14ac:dyDescent="0.25">
      <c r="A22" s="6" t="s">
        <v>30</v>
      </c>
      <c r="B22" s="147" t="s">
        <v>185</v>
      </c>
      <c r="C22" s="2" t="s">
        <v>43</v>
      </c>
      <c r="D22" s="3">
        <v>452868.12</v>
      </c>
      <c r="E22" s="3">
        <f>Site_Summary[[#This Row],[Electricity (kWh)]]*'Information and Variables'!$D$4</f>
        <v>93.777343774364297</v>
      </c>
      <c r="F22" s="101">
        <f>Site_Summary[[#This Row],[Electricity (kWh)]]*'Information and Variables'!$D$14</f>
        <v>126803.07360000002</v>
      </c>
      <c r="G22" s="8">
        <v>343547.29</v>
      </c>
      <c r="H22" s="3">
        <f>Site_Summary[[#This Row],[Gas (kWh)]]*'Information and Variables'!$D$5</f>
        <v>62.844736849858393</v>
      </c>
      <c r="I22" s="101">
        <f>Site_Summary[[#This Row],[Gas (kWh)]]*'Information and Variables'!$D$15</f>
        <v>27483.783199999998</v>
      </c>
    </row>
    <row r="23" spans="1:9" x14ac:dyDescent="0.25">
      <c r="A23" s="7" t="s">
        <v>30</v>
      </c>
      <c r="B23" s="148" t="s">
        <v>185</v>
      </c>
      <c r="C23" s="4" t="s">
        <v>42</v>
      </c>
      <c r="D23" s="5">
        <v>293473.78000000003</v>
      </c>
      <c r="E23" s="5">
        <f>Site_Summary[[#This Row],[Electricity (kWh)]]*'Information and Variables'!$D$4</f>
        <v>60.770874213495446</v>
      </c>
      <c r="F23" s="102">
        <f>Site_Summary[[#This Row],[Electricity (kWh)]]*'Information and Variables'!$D$14</f>
        <v>82172.658400000015</v>
      </c>
      <c r="G23" s="9">
        <v>249534.52</v>
      </c>
      <c r="H23" s="5">
        <f>Site_Summary[[#This Row],[Gas (kWh)]]*'Information and Variables'!$D$5</f>
        <v>45.647081787068458</v>
      </c>
      <c r="I23" s="102">
        <f>Site_Summary[[#This Row],[Gas (kWh)]]*'Information and Variables'!$D$15</f>
        <v>19962.761599999998</v>
      </c>
    </row>
    <row r="24" spans="1:9" x14ac:dyDescent="0.25">
      <c r="A24" s="6" t="s">
        <v>30</v>
      </c>
      <c r="B24" s="147" t="s">
        <v>185</v>
      </c>
      <c r="C24" s="2" t="s">
        <v>41</v>
      </c>
      <c r="D24" s="3">
        <v>202186.22</v>
      </c>
      <c r="E24" s="3">
        <f>Site_Summary[[#This Row],[Electricity (kWh)]]*'Information and Variables'!$D$4</f>
        <v>41.867567669323357</v>
      </c>
      <c r="F24" s="101">
        <f>Site_Summary[[#This Row],[Electricity (kWh)]]*'Information and Variables'!$D$14</f>
        <v>56612.141600000003</v>
      </c>
      <c r="G24" s="8">
        <v>180335.77</v>
      </c>
      <c r="H24" s="3">
        <f>Site_Summary[[#This Row],[Gas (kWh)]]*'Information and Variables'!$D$5</f>
        <v>32.988628756951009</v>
      </c>
      <c r="I24" s="101">
        <f>Site_Summary[[#This Row],[Gas (kWh)]]*'Information and Variables'!$D$15</f>
        <v>14426.8616</v>
      </c>
    </row>
    <row r="25" spans="1:9" x14ac:dyDescent="0.25">
      <c r="A25" s="7" t="s">
        <v>30</v>
      </c>
      <c r="B25" s="148" t="s">
        <v>185</v>
      </c>
      <c r="C25" s="4" t="s">
        <v>40</v>
      </c>
      <c r="D25" s="5">
        <v>101570.74</v>
      </c>
      <c r="E25" s="5">
        <f>Site_Summary[[#This Row],[Electricity (kWh)]]*'Information and Variables'!$D$4</f>
        <v>21.032688727121212</v>
      </c>
      <c r="F25" s="102">
        <f>Site_Summary[[#This Row],[Electricity (kWh)]]*'Information and Variables'!$D$14</f>
        <v>28439.807200000003</v>
      </c>
      <c r="G25" s="9">
        <v>96240.84</v>
      </c>
      <c r="H25" s="5">
        <f>Site_Summary[[#This Row],[Gas (kWh)]]*'Information and Variables'!$D$5</f>
        <v>17.605233515331545</v>
      </c>
      <c r="I25" s="102">
        <f>Site_Summary[[#This Row],[Gas (kWh)]]*'Information and Variables'!$D$15</f>
        <v>7699.2672000000002</v>
      </c>
    </row>
    <row r="26" spans="1:9" x14ac:dyDescent="0.25">
      <c r="A26" s="6" t="s">
        <v>29</v>
      </c>
      <c r="B26" s="147" t="s">
        <v>185</v>
      </c>
      <c r="C26" s="2" t="s">
        <v>43</v>
      </c>
      <c r="D26" s="3">
        <v>397613.14</v>
      </c>
      <c r="E26" s="3">
        <f>Site_Summary[[#This Row],[Electricity (kWh)]]*'Information and Variables'!$D$4</f>
        <v>82.335458099776247</v>
      </c>
      <c r="F26" s="101">
        <f>Site_Summary[[#This Row],[Electricity (kWh)]]*'Information and Variables'!$D$14</f>
        <v>111331.67920000001</v>
      </c>
      <c r="G26" s="8">
        <v>546300.56000000006</v>
      </c>
      <c r="H26" s="3">
        <f>Site_Summary[[#This Row],[Gas (kWh)]]*'Information and Variables'!$D$5</f>
        <v>99.934174809326194</v>
      </c>
      <c r="I26" s="101">
        <f>Site_Summary[[#This Row],[Gas (kWh)]]*'Information and Variables'!$D$15</f>
        <v>43704.044800000003</v>
      </c>
    </row>
    <row r="27" spans="1:9" x14ac:dyDescent="0.25">
      <c r="A27" s="7" t="s">
        <v>29</v>
      </c>
      <c r="B27" s="148" t="s">
        <v>185</v>
      </c>
      <c r="C27" s="4" t="s">
        <v>42</v>
      </c>
      <c r="D27" s="5">
        <v>334207.38</v>
      </c>
      <c r="E27" s="5">
        <f>Site_Summary[[#This Row],[Electricity (kWh)]]*'Information and Variables'!$D$4</f>
        <v>69.205755455229664</v>
      </c>
      <c r="F27" s="102">
        <f>Site_Summary[[#This Row],[Electricity (kWh)]]*'Information and Variables'!$D$14</f>
        <v>93578.066400000011</v>
      </c>
      <c r="G27" s="9">
        <v>387616.83</v>
      </c>
      <c r="H27" s="5">
        <f>Site_Summary[[#This Row],[Gas (kWh)]]*'Information and Variables'!$D$5</f>
        <v>70.906330479062433</v>
      </c>
      <c r="I27" s="102">
        <f>Site_Summary[[#This Row],[Gas (kWh)]]*'Information and Variables'!$D$15</f>
        <v>31009.346400000002</v>
      </c>
    </row>
    <row r="28" spans="1:9" x14ac:dyDescent="0.25">
      <c r="A28" s="6" t="s">
        <v>29</v>
      </c>
      <c r="B28" s="147" t="s">
        <v>185</v>
      </c>
      <c r="C28" s="2" t="s">
        <v>41</v>
      </c>
      <c r="D28" s="3">
        <v>230540.41</v>
      </c>
      <c r="E28" s="3">
        <f>Site_Summary[[#This Row],[Electricity (kWh)]]*'Information and Variables'!$D$4</f>
        <v>47.738991392136178</v>
      </c>
      <c r="F28" s="101">
        <f>Site_Summary[[#This Row],[Electricity (kWh)]]*'Information and Variables'!$D$14</f>
        <v>64551.314800000007</v>
      </c>
      <c r="G28" s="8">
        <v>255987.27</v>
      </c>
      <c r="H28" s="3">
        <f>Site_Summary[[#This Row],[Gas (kWh)]]*'Information and Variables'!$D$5</f>
        <v>46.827476415440941</v>
      </c>
      <c r="I28" s="101">
        <f>Site_Summary[[#This Row],[Gas (kWh)]]*'Information and Variables'!$D$15</f>
        <v>20478.981599999999</v>
      </c>
    </row>
    <row r="29" spans="1:9" x14ac:dyDescent="0.25">
      <c r="A29" s="7" t="s">
        <v>29</v>
      </c>
      <c r="B29" s="148" t="s">
        <v>185</v>
      </c>
      <c r="C29" s="4" t="s">
        <v>40</v>
      </c>
      <c r="D29" s="5">
        <v>112606.17</v>
      </c>
      <c r="E29" s="5">
        <f>Site_Summary[[#This Row],[Electricity (kWh)]]*'Information and Variables'!$D$4</f>
        <v>23.317842543662618</v>
      </c>
      <c r="F29" s="102">
        <f>Site_Summary[[#This Row],[Electricity (kWh)]]*'Information and Variables'!$D$14</f>
        <v>31529.727600000002</v>
      </c>
      <c r="G29" s="9">
        <v>150784.17000000001</v>
      </c>
      <c r="H29" s="5">
        <f>Site_Summary[[#This Row],[Gas (kWh)]]*'Information and Variables'!$D$5</f>
        <v>27.582786302212757</v>
      </c>
      <c r="I29" s="102">
        <f>Site_Summary[[#This Row],[Gas (kWh)]]*'Information and Variables'!$D$15</f>
        <v>12062.733600000001</v>
      </c>
    </row>
    <row r="30" spans="1:9" x14ac:dyDescent="0.25">
      <c r="A30" s="6" t="s">
        <v>28</v>
      </c>
      <c r="B30" s="147" t="s">
        <v>185</v>
      </c>
      <c r="C30" s="2" t="s">
        <v>43</v>
      </c>
      <c r="D30" s="3">
        <v>408009.67</v>
      </c>
      <c r="E30" s="3">
        <f>Site_Summary[[#This Row],[Electricity (kWh)]]*'Information and Variables'!$D$4</f>
        <v>84.48831215333712</v>
      </c>
      <c r="F30" s="101">
        <f>Site_Summary[[#This Row],[Electricity (kWh)]]*'Information and Variables'!$D$14</f>
        <v>114242.70760000001</v>
      </c>
      <c r="G30" s="8">
        <v>879176.87</v>
      </c>
      <c r="H30" s="3">
        <f>Site_Summary[[#This Row],[Gas (kWh)]]*'Information and Variables'!$D$5</f>
        <v>160.82688074655505</v>
      </c>
      <c r="I30" s="101">
        <f>Site_Summary[[#This Row],[Gas (kWh)]]*'Information and Variables'!$D$15</f>
        <v>70334.149600000004</v>
      </c>
    </row>
    <row r="31" spans="1:9" x14ac:dyDescent="0.25">
      <c r="A31" s="7" t="s">
        <v>28</v>
      </c>
      <c r="B31" s="148" t="s">
        <v>185</v>
      </c>
      <c r="C31" s="4" t="s">
        <v>42</v>
      </c>
      <c r="D31" s="5">
        <v>334854.23</v>
      </c>
      <c r="E31" s="5">
        <f>Site_Summary[[#This Row],[Electricity (kWh)]]*'Information and Variables'!$D$4</f>
        <v>69.339701458804498</v>
      </c>
      <c r="F31" s="102">
        <f>Site_Summary[[#This Row],[Electricity (kWh)]]*'Information and Variables'!$D$14</f>
        <v>93759.184399999998</v>
      </c>
      <c r="G31" s="9">
        <v>573673.15</v>
      </c>
      <c r="H31" s="5">
        <f>Site_Summary[[#This Row],[Gas (kWh)]]*'Information and Variables'!$D$5</f>
        <v>104.94141330464096</v>
      </c>
      <c r="I31" s="102">
        <f>Site_Summary[[#This Row],[Gas (kWh)]]*'Information and Variables'!$D$15</f>
        <v>45893.852000000006</v>
      </c>
    </row>
    <row r="32" spans="1:9" x14ac:dyDescent="0.25">
      <c r="A32" s="6" t="s">
        <v>28</v>
      </c>
      <c r="B32" s="147" t="s">
        <v>185</v>
      </c>
      <c r="C32" s="2" t="s">
        <v>41</v>
      </c>
      <c r="D32" s="3">
        <v>223172.5</v>
      </c>
      <c r="E32" s="3">
        <f>Site_Summary[[#This Row],[Electricity (kWh)]]*'Information and Variables'!$D$4</f>
        <v>46.213286670486582</v>
      </c>
      <c r="F32" s="101">
        <f>Site_Summary[[#This Row],[Electricity (kWh)]]*'Information and Variables'!$D$14</f>
        <v>62488.3</v>
      </c>
      <c r="G32" s="8">
        <v>401826.37</v>
      </c>
      <c r="H32" s="3">
        <f>Site_Summary[[#This Row],[Gas (kWh)]]*'Information and Variables'!$D$5</f>
        <v>73.505666372695984</v>
      </c>
      <c r="I32" s="101">
        <f>Site_Summary[[#This Row],[Gas (kWh)]]*'Information and Variables'!$D$15</f>
        <v>32146.1096</v>
      </c>
    </row>
    <row r="33" spans="1:9" x14ac:dyDescent="0.25">
      <c r="A33" s="7" t="s">
        <v>28</v>
      </c>
      <c r="B33" s="148" t="s">
        <v>185</v>
      </c>
      <c r="C33" s="4" t="s">
        <v>40</v>
      </c>
      <c r="D33" s="5">
        <v>98814.43</v>
      </c>
      <c r="E33" s="5">
        <f>Site_Summary[[#This Row],[Electricity (kWh)]]*'Information and Variables'!$D$4</f>
        <v>20.461927794736042</v>
      </c>
      <c r="F33" s="102">
        <f>Site_Summary[[#This Row],[Electricity (kWh)]]*'Information and Variables'!$D$14</f>
        <v>27668.040400000002</v>
      </c>
      <c r="G33" s="9">
        <v>206405.97</v>
      </c>
      <c r="H33" s="5">
        <f>Site_Summary[[#This Row],[Gas (kWh)]]*'Information and Variables'!$D$5</f>
        <v>37.757622448105373</v>
      </c>
      <c r="I33" s="102">
        <f>Site_Summary[[#This Row],[Gas (kWh)]]*'Information and Variables'!$D$15</f>
        <v>16512.477600000002</v>
      </c>
    </row>
    <row r="34" spans="1:9" x14ac:dyDescent="0.25">
      <c r="A34" s="6" t="s">
        <v>27</v>
      </c>
      <c r="B34" s="147" t="s">
        <v>185</v>
      </c>
      <c r="C34" s="2" t="s">
        <v>43</v>
      </c>
      <c r="D34" s="3">
        <v>418855.08</v>
      </c>
      <c r="E34" s="3">
        <f>Site_Summary[[#This Row],[Electricity (kWh)]]*'Information and Variables'!$D$4</f>
        <v>86.734117713560551</v>
      </c>
      <c r="F34" s="101">
        <f>Site_Summary[[#This Row],[Electricity (kWh)]]*'Information and Variables'!$D$14</f>
        <v>117279.42240000001</v>
      </c>
      <c r="G34" s="8">
        <v>1257475.23</v>
      </c>
      <c r="H34" s="3">
        <f>Site_Summary[[#This Row],[Gas (kWh)]]*'Information and Variables'!$D$5</f>
        <v>230.02859351492822</v>
      </c>
      <c r="I34" s="101">
        <f>Site_Summary[[#This Row],[Gas (kWh)]]*'Information and Variables'!$D$15</f>
        <v>100598.0184</v>
      </c>
    </row>
    <row r="35" spans="1:9" x14ac:dyDescent="0.25">
      <c r="A35" s="7" t="s">
        <v>27</v>
      </c>
      <c r="B35" s="148" t="s">
        <v>185</v>
      </c>
      <c r="C35" s="4" t="s">
        <v>42</v>
      </c>
      <c r="D35" s="5">
        <v>319084.39</v>
      </c>
      <c r="E35" s="5">
        <f>Site_Summary[[#This Row],[Electricity (kWh)]]*'Information and Variables'!$D$4</f>
        <v>66.074173059616854</v>
      </c>
      <c r="F35" s="102">
        <f>Site_Summary[[#This Row],[Electricity (kWh)]]*'Information and Variables'!$D$14</f>
        <v>89343.62920000001</v>
      </c>
      <c r="G35" s="9">
        <v>849093.02</v>
      </c>
      <c r="H35" s="5">
        <f>Site_Summary[[#This Row],[Gas (kWh)]]*'Information and Variables'!$D$5</f>
        <v>155.32367437086043</v>
      </c>
      <c r="I35" s="102">
        <f>Site_Summary[[#This Row],[Gas (kWh)]]*'Information and Variables'!$D$15</f>
        <v>67927.441600000006</v>
      </c>
    </row>
    <row r="36" spans="1:9" x14ac:dyDescent="0.25">
      <c r="A36" s="6" t="s">
        <v>27</v>
      </c>
      <c r="B36" s="147" t="s">
        <v>185</v>
      </c>
      <c r="C36" s="2" t="s">
        <v>41</v>
      </c>
      <c r="D36" s="3">
        <v>229098.11</v>
      </c>
      <c r="E36" s="3">
        <f>Site_Summary[[#This Row],[Electricity (kWh)]]*'Information and Variables'!$D$4</f>
        <v>47.440328145701947</v>
      </c>
      <c r="F36" s="101">
        <f>Site_Summary[[#This Row],[Electricity (kWh)]]*'Information and Variables'!$D$14</f>
        <v>64147.470800000003</v>
      </c>
      <c r="G36" s="8">
        <v>596091.84</v>
      </c>
      <c r="H36" s="3">
        <f>Site_Summary[[#This Row],[Gas (kWh)]]*'Information and Variables'!$D$5</f>
        <v>109.04244019257987</v>
      </c>
      <c r="I36" s="101">
        <f>Site_Summary[[#This Row],[Gas (kWh)]]*'Information and Variables'!$D$15</f>
        <v>47687.347199999997</v>
      </c>
    </row>
    <row r="37" spans="1:9" x14ac:dyDescent="0.25">
      <c r="A37" s="7" t="s">
        <v>27</v>
      </c>
      <c r="B37" s="148" t="s">
        <v>185</v>
      </c>
      <c r="C37" s="4" t="s">
        <v>40</v>
      </c>
      <c r="D37" s="5">
        <v>110287.87</v>
      </c>
      <c r="E37" s="5">
        <f>Site_Summary[[#This Row],[Electricity (kWh)]]*'Information and Variables'!$D$4</f>
        <v>22.837782220423019</v>
      </c>
      <c r="F37" s="102">
        <f>Site_Summary[[#This Row],[Electricity (kWh)]]*'Information and Variables'!$D$14</f>
        <v>30880.603600000002</v>
      </c>
      <c r="G37" s="9">
        <v>305288.09000000003</v>
      </c>
      <c r="H37" s="5">
        <f>Site_Summary[[#This Row],[Gas (kWh)]]*'Information and Variables'!$D$5</f>
        <v>55.846022477563096</v>
      </c>
      <c r="I37" s="102">
        <f>Site_Summary[[#This Row],[Gas (kWh)]]*'Information and Variables'!$D$15</f>
        <v>24423.047200000001</v>
      </c>
    </row>
    <row r="38" spans="1:9" x14ac:dyDescent="0.25">
      <c r="A38" s="6" t="s">
        <v>26</v>
      </c>
      <c r="B38" s="147" t="s">
        <v>185</v>
      </c>
      <c r="C38" s="2" t="s">
        <v>43</v>
      </c>
      <c r="D38" s="3">
        <v>434134.11</v>
      </c>
      <c r="E38" s="3">
        <f>Site_Summary[[#This Row],[Electricity (kWh)]]*'Information and Variables'!$D$4</f>
        <v>89.898011981165041</v>
      </c>
      <c r="F38" s="101">
        <f>Site_Summary[[#This Row],[Electricity (kWh)]]*'Information and Variables'!$D$14</f>
        <v>121557.55080000001</v>
      </c>
      <c r="G38" s="8">
        <v>1352946.4</v>
      </c>
      <c r="H38" s="3">
        <f>Site_Summary[[#This Row],[Gas (kWh)]]*'Information and Variables'!$D$5</f>
        <v>247.49303212365103</v>
      </c>
      <c r="I38" s="101">
        <f>Site_Summary[[#This Row],[Gas (kWh)]]*'Information and Variables'!$D$15</f>
        <v>108235.712</v>
      </c>
    </row>
    <row r="39" spans="1:9" x14ac:dyDescent="0.25">
      <c r="A39" s="7" t="s">
        <v>26</v>
      </c>
      <c r="B39" s="148" t="s">
        <v>185</v>
      </c>
      <c r="C39" s="4" t="s">
        <v>42</v>
      </c>
      <c r="D39" s="5">
        <v>287491.02</v>
      </c>
      <c r="E39" s="5">
        <f>Site_Summary[[#This Row],[Electricity (kWh)]]*'Information and Variables'!$D$4</f>
        <v>59.531998442687119</v>
      </c>
      <c r="F39" s="102">
        <f>Site_Summary[[#This Row],[Electricity (kWh)]]*'Information and Variables'!$D$14</f>
        <v>80497.485600000015</v>
      </c>
      <c r="G39" s="9">
        <v>882235.95</v>
      </c>
      <c r="H39" s="5">
        <f>Site_Summary[[#This Row],[Gas (kWh)]]*'Information and Variables'!$D$5</f>
        <v>161.38647496603693</v>
      </c>
      <c r="I39" s="102">
        <f>Site_Summary[[#This Row],[Gas (kWh)]]*'Information and Variables'!$D$15</f>
        <v>70578.876000000004</v>
      </c>
    </row>
    <row r="40" spans="1:9" x14ac:dyDescent="0.25">
      <c r="A40" s="6" t="s">
        <v>26</v>
      </c>
      <c r="B40" s="147" t="s">
        <v>185</v>
      </c>
      <c r="C40" s="2" t="s">
        <v>41</v>
      </c>
      <c r="D40" s="3">
        <v>231135.88</v>
      </c>
      <c r="E40" s="3">
        <f>Site_Summary[[#This Row],[Electricity (kWh)]]*'Information and Variables'!$D$4</f>
        <v>47.862297918763225</v>
      </c>
      <c r="F40" s="101">
        <f>Site_Summary[[#This Row],[Electricity (kWh)]]*'Information and Variables'!$D$14</f>
        <v>64718.046400000007</v>
      </c>
      <c r="G40" s="8">
        <v>692415.42</v>
      </c>
      <c r="H40" s="3">
        <f>Site_Summary[[#This Row],[Gas (kWh)]]*'Information and Variables'!$D$5</f>
        <v>126.66280924726311</v>
      </c>
      <c r="I40" s="101">
        <f>Site_Summary[[#This Row],[Gas (kWh)]]*'Information and Variables'!$D$15</f>
        <v>55393.233600000007</v>
      </c>
    </row>
    <row r="41" spans="1:9" x14ac:dyDescent="0.25">
      <c r="A41" s="7" t="s">
        <v>26</v>
      </c>
      <c r="B41" s="148" t="s">
        <v>185</v>
      </c>
      <c r="C41" s="4" t="s">
        <v>40</v>
      </c>
      <c r="D41" s="5">
        <v>96239.07</v>
      </c>
      <c r="E41" s="5">
        <f>Site_Summary[[#This Row],[Electricity (kWh)]]*'Information and Variables'!$D$4</f>
        <v>19.928636954871344</v>
      </c>
      <c r="F41" s="102">
        <f>Site_Summary[[#This Row],[Electricity (kWh)]]*'Information and Variables'!$D$14</f>
        <v>26946.939600000005</v>
      </c>
      <c r="G41" s="9">
        <v>356101.36</v>
      </c>
      <c r="H41" s="5">
        <f>Site_Summary[[#This Row],[Gas (kWh)]]*'Information and Variables'!$D$5</f>
        <v>65.141239394077857</v>
      </c>
      <c r="I41" s="102">
        <f>Site_Summary[[#This Row],[Gas (kWh)]]*'Information and Variables'!$D$15</f>
        <v>28488.108799999998</v>
      </c>
    </row>
    <row r="42" spans="1:9" x14ac:dyDescent="0.25">
      <c r="A42" s="6" t="s">
        <v>25</v>
      </c>
      <c r="B42" s="147" t="s">
        <v>185</v>
      </c>
      <c r="C42" s="2" t="s">
        <v>43</v>
      </c>
      <c r="D42" s="3">
        <v>406982.26</v>
      </c>
      <c r="E42" s="3">
        <f>Site_Summary[[#This Row],[Electricity (kWh)]]*'Information and Variables'!$D$4</f>
        <v>84.275561958496255</v>
      </c>
      <c r="F42" s="101">
        <f>Site_Summary[[#This Row],[Electricity (kWh)]]*'Information and Variables'!$D$14</f>
        <v>113955.03280000002</v>
      </c>
      <c r="G42" s="8">
        <v>1064328.3999999999</v>
      </c>
      <c r="H42" s="3">
        <f>Site_Summary[[#This Row],[Gas (kWh)]]*'Information and Variables'!$D$5</f>
        <v>194.69645130902015</v>
      </c>
      <c r="I42" s="101">
        <f>Site_Summary[[#This Row],[Gas (kWh)]]*'Information and Variables'!$D$15</f>
        <v>85146.271999999997</v>
      </c>
    </row>
    <row r="43" spans="1:9" x14ac:dyDescent="0.25">
      <c r="A43" s="7" t="s">
        <v>25</v>
      </c>
      <c r="B43" s="148" t="s">
        <v>185</v>
      </c>
      <c r="C43" s="4" t="s">
        <v>42</v>
      </c>
      <c r="D43" s="5">
        <v>287872.83</v>
      </c>
      <c r="E43" s="5">
        <f>Site_Summary[[#This Row],[Electricity (kWh)]]*'Information and Variables'!$D$4</f>
        <v>59.611061476813902</v>
      </c>
      <c r="F43" s="102">
        <f>Site_Summary[[#This Row],[Electricity (kWh)]]*'Information and Variables'!$D$14</f>
        <v>80604.392400000012</v>
      </c>
      <c r="G43" s="9">
        <v>737570.43</v>
      </c>
      <c r="H43" s="5">
        <f>Site_Summary[[#This Row],[Gas (kWh)]]*'Information and Variables'!$D$5</f>
        <v>134.92296673796176</v>
      </c>
      <c r="I43" s="102">
        <f>Site_Summary[[#This Row],[Gas (kWh)]]*'Information and Variables'!$D$15</f>
        <v>59005.634400000003</v>
      </c>
    </row>
    <row r="44" spans="1:9" x14ac:dyDescent="0.25">
      <c r="A44" s="6" t="s">
        <v>25</v>
      </c>
      <c r="B44" s="147" t="s">
        <v>185</v>
      </c>
      <c r="C44" s="2" t="s">
        <v>41</v>
      </c>
      <c r="D44" s="3">
        <v>242080.22</v>
      </c>
      <c r="E44" s="3">
        <f>Site_Summary[[#This Row],[Electricity (kWh)]]*'Information and Variables'!$D$4</f>
        <v>50.128589338356917</v>
      </c>
      <c r="F44" s="101">
        <f>Site_Summary[[#This Row],[Electricity (kWh)]]*'Information and Variables'!$D$14</f>
        <v>67782.46160000001</v>
      </c>
      <c r="G44" s="8">
        <v>492827.64</v>
      </c>
      <c r="H44" s="3">
        <f>Site_Summary[[#This Row],[Gas (kWh)]]*'Information and Variables'!$D$5</f>
        <v>90.152430974311429</v>
      </c>
      <c r="I44" s="101">
        <f>Site_Summary[[#This Row],[Gas (kWh)]]*'Information and Variables'!$D$15</f>
        <v>39426.211200000005</v>
      </c>
    </row>
    <row r="45" spans="1:9" x14ac:dyDescent="0.25">
      <c r="A45" s="7" t="s">
        <v>25</v>
      </c>
      <c r="B45" s="148" t="s">
        <v>185</v>
      </c>
      <c r="C45" s="4" t="s">
        <v>40</v>
      </c>
      <c r="D45" s="5">
        <v>112040.1</v>
      </c>
      <c r="E45" s="5">
        <f>Site_Summary[[#This Row],[Electricity (kWh)]]*'Information and Variables'!$D$4</f>
        <v>23.200624001120136</v>
      </c>
      <c r="F45" s="102">
        <f>Site_Summary[[#This Row],[Electricity (kWh)]]*'Information and Variables'!$D$14</f>
        <v>31371.228000000006</v>
      </c>
      <c r="G45" s="9">
        <v>274429.40000000002</v>
      </c>
      <c r="H45" s="5">
        <f>Site_Summary[[#This Row],[Gas (kWh)]]*'Information and Variables'!$D$5</f>
        <v>50.201075452711422</v>
      </c>
      <c r="I45" s="102">
        <f>Site_Summary[[#This Row],[Gas (kWh)]]*'Information and Variables'!$D$15</f>
        <v>21954.352000000003</v>
      </c>
    </row>
    <row r="46" spans="1:9" x14ac:dyDescent="0.25">
      <c r="A46" s="6" t="s">
        <v>24</v>
      </c>
      <c r="B46" s="147" t="s">
        <v>185</v>
      </c>
      <c r="C46" s="2" t="s">
        <v>43</v>
      </c>
      <c r="D46" s="3">
        <v>420903.94</v>
      </c>
      <c r="E46" s="3">
        <f>Site_Summary[[#This Row],[Electricity (kWh)]]*'Information and Variables'!$D$4</f>
        <v>87.158383940482281</v>
      </c>
      <c r="F46" s="101">
        <f>Site_Summary[[#This Row],[Electricity (kWh)]]*'Information and Variables'!$D$14</f>
        <v>117853.10320000001</v>
      </c>
      <c r="G46" s="8">
        <v>693556.67</v>
      </c>
      <c r="H46" s="3">
        <f>Site_Summary[[#This Row],[Gas (kWh)]]*'Information and Variables'!$D$5</f>
        <v>126.87157688425975</v>
      </c>
      <c r="I46" s="101">
        <f>Site_Summary[[#This Row],[Gas (kWh)]]*'Information and Variables'!$D$15</f>
        <v>55484.533600000002</v>
      </c>
    </row>
    <row r="47" spans="1:9" x14ac:dyDescent="0.25">
      <c r="A47" s="7" t="s">
        <v>24</v>
      </c>
      <c r="B47" s="148" t="s">
        <v>185</v>
      </c>
      <c r="C47" s="4" t="s">
        <v>42</v>
      </c>
      <c r="D47" s="5">
        <v>305846.62</v>
      </c>
      <c r="E47" s="5">
        <f>Site_Summary[[#This Row],[Electricity (kWh)]]*'Information and Variables'!$D$4</f>
        <v>63.332971254340805</v>
      </c>
      <c r="F47" s="102">
        <f>Site_Summary[[#This Row],[Electricity (kWh)]]*'Information and Variables'!$D$14</f>
        <v>85637.053600000014</v>
      </c>
      <c r="G47" s="9">
        <v>431527.86</v>
      </c>
      <c r="H47" s="5">
        <f>Site_Summary[[#This Row],[Gas (kWh)]]*'Information and Variables'!$D$5</f>
        <v>78.938928044178525</v>
      </c>
      <c r="I47" s="102">
        <f>Site_Summary[[#This Row],[Gas (kWh)]]*'Information and Variables'!$D$15</f>
        <v>34522.228799999997</v>
      </c>
    </row>
    <row r="48" spans="1:9" x14ac:dyDescent="0.25">
      <c r="A48" s="6" t="s">
        <v>24</v>
      </c>
      <c r="B48" s="147" t="s">
        <v>185</v>
      </c>
      <c r="C48" s="2" t="s">
        <v>41</v>
      </c>
      <c r="D48" s="3">
        <v>215557.22</v>
      </c>
      <c r="E48" s="3">
        <f>Site_Summary[[#This Row],[Electricity (kWh)]]*'Information and Variables'!$D$4</f>
        <v>44.636357982068326</v>
      </c>
      <c r="F48" s="101">
        <f>Site_Summary[[#This Row],[Electricity (kWh)]]*'Information and Variables'!$D$14</f>
        <v>60356.021600000007</v>
      </c>
      <c r="G48" s="8">
        <v>294163.28000000003</v>
      </c>
      <c r="H48" s="3">
        <f>Site_Summary[[#This Row],[Gas (kWh)]]*'Information and Variables'!$D$5</f>
        <v>53.810972930367797</v>
      </c>
      <c r="I48" s="101">
        <f>Site_Summary[[#This Row],[Gas (kWh)]]*'Information and Variables'!$D$15</f>
        <v>23533.062400000003</v>
      </c>
    </row>
    <row r="49" spans="1:9" x14ac:dyDescent="0.25">
      <c r="A49" s="7" t="s">
        <v>24</v>
      </c>
      <c r="B49" s="148" t="s">
        <v>185</v>
      </c>
      <c r="C49" s="4" t="s">
        <v>40</v>
      </c>
      <c r="D49" s="5">
        <v>104494.85</v>
      </c>
      <c r="E49" s="5">
        <f>Site_Summary[[#This Row],[Electricity (kWh)]]*'Information and Variables'!$D$4</f>
        <v>21.638196725131881</v>
      </c>
      <c r="F49" s="102">
        <f>Site_Summary[[#This Row],[Electricity (kWh)]]*'Information and Variables'!$D$14</f>
        <v>29258.558000000005</v>
      </c>
      <c r="G49" s="9">
        <v>145680.5</v>
      </c>
      <c r="H49" s="5">
        <f>Site_Summary[[#This Row],[Gas (kWh)]]*'Information and Variables'!$D$5</f>
        <v>26.64917742956376</v>
      </c>
      <c r="I49" s="102">
        <f>Site_Summary[[#This Row],[Gas (kWh)]]*'Information and Variables'!$D$15</f>
        <v>11654.44</v>
      </c>
    </row>
    <row r="50" spans="1:9" x14ac:dyDescent="0.25">
      <c r="A50" s="6" t="s">
        <v>23</v>
      </c>
      <c r="B50" s="147" t="s">
        <v>186</v>
      </c>
      <c r="C50" s="2" t="s">
        <v>43</v>
      </c>
      <c r="D50" s="3">
        <v>420135.12</v>
      </c>
      <c r="E50" s="3">
        <f>Site_Summary[[#This Row],[Electricity (kWh)]]*'Information and Variables'!$D$6</f>
        <v>86.988976596000001</v>
      </c>
      <c r="F50" s="101">
        <f>Site_Summary[[#This Row],[Electricity (kWh)]]*'Information and Variables'!$D$16</f>
        <v>109235.1312</v>
      </c>
      <c r="G50" s="8">
        <v>371835.29</v>
      </c>
      <c r="H50" s="3">
        <f>Site_Summary[[#This Row],[Gas (kWh)]]*'Information and Variables'!$D$7</f>
        <v>68.008674540999991</v>
      </c>
      <c r="I50" s="101">
        <f>Site_Summary[[#This Row],[Gas (kWh)]]*'Information and Variables'!$D$17</f>
        <v>27887.646749999996</v>
      </c>
    </row>
    <row r="51" spans="1:9" x14ac:dyDescent="0.25">
      <c r="A51" s="7" t="s">
        <v>23</v>
      </c>
      <c r="B51" s="148" t="s">
        <v>186</v>
      </c>
      <c r="C51" s="4" t="s">
        <v>42</v>
      </c>
      <c r="D51" s="5">
        <v>339988.49</v>
      </c>
      <c r="E51" s="5">
        <f>Site_Summary[[#This Row],[Electricity (kWh)]]*'Information and Variables'!$D$6</f>
        <v>70.394616854500001</v>
      </c>
      <c r="F51" s="102">
        <f>Site_Summary[[#This Row],[Electricity (kWh)]]*'Information and Variables'!$D$16</f>
        <v>88397.007400000002</v>
      </c>
      <c r="G51" s="9">
        <v>308737.71999999997</v>
      </c>
      <c r="H51" s="5">
        <f>Site_Summary[[#This Row],[Gas (kWh)]]*'Information and Variables'!$D$7</f>
        <v>56.468128987999997</v>
      </c>
      <c r="I51" s="102">
        <f>Site_Summary[[#This Row],[Gas (kWh)]]*'Information and Variables'!$D$17</f>
        <v>23155.328999999998</v>
      </c>
    </row>
    <row r="52" spans="1:9" x14ac:dyDescent="0.25">
      <c r="A52" s="6" t="s">
        <v>23</v>
      </c>
      <c r="B52" s="147" t="s">
        <v>186</v>
      </c>
      <c r="C52" s="2" t="s">
        <v>41</v>
      </c>
      <c r="D52" s="3">
        <v>220187.43</v>
      </c>
      <c r="E52" s="3">
        <f>Site_Summary[[#This Row],[Electricity (kWh)]]*'Information and Variables'!$D$6</f>
        <v>45.589807381500002</v>
      </c>
      <c r="F52" s="101">
        <f>Site_Summary[[#This Row],[Electricity (kWh)]]*'Information and Variables'!$D$16</f>
        <v>57248.731800000001</v>
      </c>
      <c r="G52" s="8">
        <v>223237.79</v>
      </c>
      <c r="H52" s="3">
        <f>Site_Summary[[#This Row],[Gas (kWh)]]*'Information and Variables'!$D$7</f>
        <v>40.830191791000004</v>
      </c>
      <c r="I52" s="101">
        <f>Site_Summary[[#This Row],[Gas (kWh)]]*'Information and Variables'!$D$17</f>
        <v>16742.83425</v>
      </c>
    </row>
    <row r="53" spans="1:9" x14ac:dyDescent="0.25">
      <c r="A53" s="7" t="s">
        <v>23</v>
      </c>
      <c r="B53" s="148" t="s">
        <v>186</v>
      </c>
      <c r="C53" s="4" t="s">
        <v>40</v>
      </c>
      <c r="D53" s="5">
        <v>102385.12</v>
      </c>
      <c r="E53" s="5">
        <f>Site_Summary[[#This Row],[Electricity (kWh)]]*'Information and Variables'!$D$6</f>
        <v>21.198839096</v>
      </c>
      <c r="F53" s="102">
        <f>Site_Summary[[#This Row],[Electricity (kWh)]]*'Information and Variables'!$D$16</f>
        <v>26620.1312</v>
      </c>
      <c r="G53" s="9">
        <v>110400.92</v>
      </c>
      <c r="H53" s="5">
        <f>Site_Summary[[#This Row],[Gas (kWh)]]*'Information and Variables'!$D$7</f>
        <v>20.192328268000001</v>
      </c>
      <c r="I53" s="102">
        <f>Site_Summary[[#This Row],[Gas (kWh)]]*'Information and Variables'!$D$17</f>
        <v>8280.0689999999995</v>
      </c>
    </row>
    <row r="54" spans="1:9" x14ac:dyDescent="0.25">
      <c r="A54" s="6" t="s">
        <v>22</v>
      </c>
      <c r="B54" s="147" t="s">
        <v>186</v>
      </c>
      <c r="C54" s="2" t="s">
        <v>43</v>
      </c>
      <c r="D54" s="3">
        <v>421383.4</v>
      </c>
      <c r="E54" s="3">
        <f>Site_Summary[[#This Row],[Electricity (kWh)]]*'Information and Variables'!$D$6</f>
        <v>87.247432970000006</v>
      </c>
      <c r="F54" s="101">
        <f>Site_Summary[[#This Row],[Electricity (kWh)]]*'Information and Variables'!$D$16</f>
        <v>109559.68400000001</v>
      </c>
      <c r="G54" s="8">
        <v>318318.96999999997</v>
      </c>
      <c r="H54" s="3">
        <f>Site_Summary[[#This Row],[Gas (kWh)]]*'Information and Variables'!$D$7</f>
        <v>58.220539612999993</v>
      </c>
      <c r="I54" s="101">
        <f>Site_Summary[[#This Row],[Gas (kWh)]]*'Information and Variables'!$D$17</f>
        <v>23873.922749999998</v>
      </c>
    </row>
    <row r="55" spans="1:9" x14ac:dyDescent="0.25">
      <c r="A55" s="7" t="s">
        <v>22</v>
      </c>
      <c r="B55" s="148" t="s">
        <v>186</v>
      </c>
      <c r="C55" s="4" t="s">
        <v>42</v>
      </c>
      <c r="D55" s="5">
        <v>327415.8</v>
      </c>
      <c r="E55" s="5">
        <f>Site_Summary[[#This Row],[Electricity (kWh)]]*'Information and Variables'!$D$6</f>
        <v>67.791441390000003</v>
      </c>
      <c r="F55" s="102">
        <f>Site_Summary[[#This Row],[Electricity (kWh)]]*'Information and Variables'!$D$16</f>
        <v>85128.107999999993</v>
      </c>
      <c r="G55" s="9">
        <v>224062.5</v>
      </c>
      <c r="H55" s="5">
        <f>Site_Summary[[#This Row],[Gas (kWh)]]*'Information and Variables'!$D$7</f>
        <v>40.981031250000001</v>
      </c>
      <c r="I55" s="102">
        <f>Site_Summary[[#This Row],[Gas (kWh)]]*'Information and Variables'!$D$17</f>
        <v>16804.6875</v>
      </c>
    </row>
    <row r="56" spans="1:9" x14ac:dyDescent="0.25">
      <c r="A56" s="6" t="s">
        <v>22</v>
      </c>
      <c r="B56" s="147" t="s">
        <v>186</v>
      </c>
      <c r="C56" s="2" t="s">
        <v>41</v>
      </c>
      <c r="D56" s="3">
        <v>246069.75</v>
      </c>
      <c r="E56" s="3">
        <f>Site_Summary[[#This Row],[Electricity (kWh)]]*'Information and Variables'!$D$6</f>
        <v>50.948741737500008</v>
      </c>
      <c r="F56" s="101">
        <f>Site_Summary[[#This Row],[Electricity (kWh)]]*'Information and Variables'!$D$16</f>
        <v>63978.135000000002</v>
      </c>
      <c r="G56" s="8">
        <v>182253.77</v>
      </c>
      <c r="H56" s="3">
        <f>Site_Summary[[#This Row],[Gas (kWh)]]*'Information and Variables'!$D$7</f>
        <v>33.334214533000001</v>
      </c>
      <c r="I56" s="101">
        <f>Site_Summary[[#This Row],[Gas (kWh)]]*'Information and Variables'!$D$17</f>
        <v>13669.032749999998</v>
      </c>
    </row>
    <row r="57" spans="1:9" x14ac:dyDescent="0.25">
      <c r="A57" s="7" t="s">
        <v>22</v>
      </c>
      <c r="B57" s="148" t="s">
        <v>186</v>
      </c>
      <c r="C57" s="4" t="s">
        <v>40</v>
      </c>
      <c r="D57" s="5">
        <v>118653.66</v>
      </c>
      <c r="E57" s="5">
        <f>Site_Summary[[#This Row],[Electricity (kWh)]]*'Information and Variables'!$D$6</f>
        <v>24.567240303000002</v>
      </c>
      <c r="F57" s="102">
        <f>Site_Summary[[#This Row],[Electricity (kWh)]]*'Information and Variables'!$D$16</f>
        <v>30849.9516</v>
      </c>
      <c r="G57" s="9">
        <v>96078.73</v>
      </c>
      <c r="H57" s="5">
        <f>Site_Summary[[#This Row],[Gas (kWh)]]*'Information and Variables'!$D$7</f>
        <v>17.572799716999999</v>
      </c>
      <c r="I57" s="102">
        <f>Site_Summary[[#This Row],[Gas (kWh)]]*'Information and Variables'!$D$17</f>
        <v>7205.9047499999997</v>
      </c>
    </row>
    <row r="58" spans="1:9" x14ac:dyDescent="0.25">
      <c r="A58" s="6" t="s">
        <v>21</v>
      </c>
      <c r="B58" s="147" t="s">
        <v>186</v>
      </c>
      <c r="C58" s="2" t="s">
        <v>43</v>
      </c>
      <c r="D58" s="3">
        <v>376626.54</v>
      </c>
      <c r="E58" s="3">
        <f>Site_Summary[[#This Row],[Electricity (kWh)]]*'Information and Variables'!$D$6</f>
        <v>77.980525107000005</v>
      </c>
      <c r="F58" s="101">
        <f>Site_Summary[[#This Row],[Electricity (kWh)]]*'Information and Variables'!$D$16</f>
        <v>97922.900399999999</v>
      </c>
      <c r="G58" s="8">
        <v>297094.46999999997</v>
      </c>
      <c r="H58" s="3">
        <f>Site_Summary[[#This Row],[Gas (kWh)]]*'Information and Variables'!$D$7</f>
        <v>54.338578562999992</v>
      </c>
      <c r="I58" s="101">
        <f>Site_Summary[[#This Row],[Gas (kWh)]]*'Information and Variables'!$D$17</f>
        <v>22282.085249999996</v>
      </c>
    </row>
    <row r="59" spans="1:9" x14ac:dyDescent="0.25">
      <c r="A59" s="7" t="s">
        <v>21</v>
      </c>
      <c r="B59" s="148" t="s">
        <v>186</v>
      </c>
      <c r="C59" s="4" t="s">
        <v>42</v>
      </c>
      <c r="D59" s="5">
        <v>331636.12</v>
      </c>
      <c r="E59" s="5">
        <f>Site_Summary[[#This Row],[Electricity (kWh)]]*'Information and Variables'!$D$6</f>
        <v>68.665258645999998</v>
      </c>
      <c r="F59" s="102">
        <f>Site_Summary[[#This Row],[Electricity (kWh)]]*'Information and Variables'!$D$16</f>
        <v>86225.391199999998</v>
      </c>
      <c r="G59" s="9">
        <v>182549.18</v>
      </c>
      <c r="H59" s="5">
        <f>Site_Summary[[#This Row],[Gas (kWh)]]*'Information and Variables'!$D$7</f>
        <v>33.388245022</v>
      </c>
      <c r="I59" s="102">
        <f>Site_Summary[[#This Row],[Gas (kWh)]]*'Information and Variables'!$D$17</f>
        <v>13691.188499999998</v>
      </c>
    </row>
    <row r="60" spans="1:9" x14ac:dyDescent="0.25">
      <c r="A60" s="6" t="s">
        <v>21</v>
      </c>
      <c r="B60" s="147" t="s">
        <v>186</v>
      </c>
      <c r="C60" s="2" t="s">
        <v>41</v>
      </c>
      <c r="D60" s="3">
        <v>232761.54</v>
      </c>
      <c r="E60" s="3">
        <f>Site_Summary[[#This Row],[Electricity (kWh)]]*'Information and Variables'!$D$6</f>
        <v>48.193276857000008</v>
      </c>
      <c r="F60" s="101">
        <f>Site_Summary[[#This Row],[Electricity (kWh)]]*'Information and Variables'!$D$16</f>
        <v>60518.000400000004</v>
      </c>
      <c r="G60" s="8">
        <v>136765.35999999999</v>
      </c>
      <c r="H60" s="3">
        <f>Site_Summary[[#This Row],[Gas (kWh)]]*'Information and Variables'!$D$7</f>
        <v>25.014384343999996</v>
      </c>
      <c r="I60" s="101">
        <f>Site_Summary[[#This Row],[Gas (kWh)]]*'Information and Variables'!$D$17</f>
        <v>10257.401999999998</v>
      </c>
    </row>
    <row r="61" spans="1:9" x14ac:dyDescent="0.25">
      <c r="A61" s="7" t="s">
        <v>21</v>
      </c>
      <c r="B61" s="148" t="s">
        <v>186</v>
      </c>
      <c r="C61" s="4" t="s">
        <v>40</v>
      </c>
      <c r="D61" s="5">
        <v>114674.01</v>
      </c>
      <c r="E61" s="5">
        <f>Site_Summary[[#This Row],[Electricity (kWh)]]*'Information and Variables'!$D$6</f>
        <v>23.743253770500001</v>
      </c>
      <c r="F61" s="102">
        <f>Site_Summary[[#This Row],[Electricity (kWh)]]*'Information and Variables'!$D$16</f>
        <v>29815.242600000001</v>
      </c>
      <c r="G61" s="9">
        <v>76301.490000000005</v>
      </c>
      <c r="H61" s="5">
        <f>Site_Summary[[#This Row],[Gas (kWh)]]*'Information and Variables'!$D$7</f>
        <v>13.955542521000002</v>
      </c>
      <c r="I61" s="102">
        <f>Site_Summary[[#This Row],[Gas (kWh)]]*'Information and Variables'!$D$17</f>
        <v>5722.61175</v>
      </c>
    </row>
    <row r="62" spans="1:9" x14ac:dyDescent="0.25">
      <c r="A62" s="6" t="s">
        <v>20</v>
      </c>
      <c r="B62" s="147" t="s">
        <v>186</v>
      </c>
      <c r="C62" s="2" t="s">
        <v>43</v>
      </c>
      <c r="D62" s="3">
        <v>450926.36</v>
      </c>
      <c r="E62" s="3">
        <f>Site_Summary[[#This Row],[Electricity (kWh)]]*'Information and Variables'!$D$6</f>
        <v>93.364302838</v>
      </c>
      <c r="F62" s="101">
        <f>Site_Summary[[#This Row],[Electricity (kWh)]]*'Information and Variables'!$D$16</f>
        <v>117240.8536</v>
      </c>
      <c r="G62" s="8">
        <v>289434.51</v>
      </c>
      <c r="H62" s="3">
        <f>Site_Summary[[#This Row],[Gas (kWh)]]*'Information and Variables'!$D$7</f>
        <v>52.937571879000004</v>
      </c>
      <c r="I62" s="101">
        <f>Site_Summary[[#This Row],[Gas (kWh)]]*'Information and Variables'!$D$17</f>
        <v>21707.588250000001</v>
      </c>
    </row>
    <row r="63" spans="1:9" x14ac:dyDescent="0.25">
      <c r="A63" s="7" t="s">
        <v>20</v>
      </c>
      <c r="B63" s="148" t="s">
        <v>186</v>
      </c>
      <c r="C63" s="4" t="s">
        <v>42</v>
      </c>
      <c r="D63" s="5">
        <v>375945.16</v>
      </c>
      <c r="E63" s="5">
        <f>Site_Summary[[#This Row],[Electricity (kWh)]]*'Information and Variables'!$D$6</f>
        <v>77.839445378000008</v>
      </c>
      <c r="F63" s="102">
        <f>Site_Summary[[#This Row],[Electricity (kWh)]]*'Information and Variables'!$D$16</f>
        <v>97745.741599999994</v>
      </c>
      <c r="G63" s="9">
        <v>207883.93</v>
      </c>
      <c r="H63" s="5">
        <f>Site_Summary[[#This Row],[Gas (kWh)]]*'Information and Variables'!$D$7</f>
        <v>38.021970797000002</v>
      </c>
      <c r="I63" s="102">
        <f>Site_Summary[[#This Row],[Gas (kWh)]]*'Information and Variables'!$D$17</f>
        <v>15591.294749999999</v>
      </c>
    </row>
    <row r="64" spans="1:9" x14ac:dyDescent="0.25">
      <c r="A64" s="6" t="s">
        <v>20</v>
      </c>
      <c r="B64" s="147" t="s">
        <v>186</v>
      </c>
      <c r="C64" s="2" t="s">
        <v>41</v>
      </c>
      <c r="D64" s="3">
        <v>212559.04</v>
      </c>
      <c r="E64" s="3">
        <f>Site_Summary[[#This Row],[Electricity (kWh)]]*'Information and Variables'!$D$6</f>
        <v>44.010349232000003</v>
      </c>
      <c r="F64" s="101">
        <f>Site_Summary[[#This Row],[Electricity (kWh)]]*'Information and Variables'!$D$16</f>
        <v>55265.350400000003</v>
      </c>
      <c r="G64" s="8">
        <v>155667.47</v>
      </c>
      <c r="H64" s="3">
        <f>Site_Summary[[#This Row],[Gas (kWh)]]*'Information and Variables'!$D$7</f>
        <v>28.471580263</v>
      </c>
      <c r="I64" s="101">
        <f>Site_Summary[[#This Row],[Gas (kWh)]]*'Information and Variables'!$D$17</f>
        <v>11675.06025</v>
      </c>
    </row>
    <row r="65" spans="1:9" x14ac:dyDescent="0.25">
      <c r="A65" s="7" t="s">
        <v>20</v>
      </c>
      <c r="B65" s="148" t="s">
        <v>186</v>
      </c>
      <c r="C65" s="4" t="s">
        <v>40</v>
      </c>
      <c r="D65" s="5">
        <v>107226.41</v>
      </c>
      <c r="E65" s="5">
        <f>Site_Summary[[#This Row],[Electricity (kWh)]]*'Information and Variables'!$D$6</f>
        <v>22.201228190500004</v>
      </c>
      <c r="F65" s="102">
        <f>Site_Summary[[#This Row],[Electricity (kWh)]]*'Information and Variables'!$D$16</f>
        <v>27878.866600000001</v>
      </c>
      <c r="G65" s="9">
        <v>70304.53</v>
      </c>
      <c r="H65" s="5">
        <f>Site_Summary[[#This Row],[Gas (kWh)]]*'Information and Variables'!$D$7</f>
        <v>12.858698537</v>
      </c>
      <c r="I65" s="102">
        <f>Site_Summary[[#This Row],[Gas (kWh)]]*'Information and Variables'!$D$17</f>
        <v>5272.8397500000001</v>
      </c>
    </row>
    <row r="66" spans="1:9" x14ac:dyDescent="0.25">
      <c r="A66" s="6" t="s">
        <v>19</v>
      </c>
      <c r="B66" s="147" t="s">
        <v>186</v>
      </c>
      <c r="C66" s="2" t="s">
        <v>43</v>
      </c>
      <c r="D66" s="3">
        <v>396390.93</v>
      </c>
      <c r="E66" s="3">
        <f>Site_Summary[[#This Row],[Electricity (kWh)]]*'Information and Variables'!$D$6</f>
        <v>82.072742056500005</v>
      </c>
      <c r="F66" s="101">
        <f>Site_Summary[[#This Row],[Electricity (kWh)]]*'Information and Variables'!$D$16</f>
        <v>103061.6418</v>
      </c>
      <c r="G66" s="8">
        <v>250683</v>
      </c>
      <c r="H66" s="3">
        <f>Site_Summary[[#This Row],[Gas (kWh)]]*'Information and Variables'!$D$7</f>
        <v>45.849920699999998</v>
      </c>
      <c r="I66" s="101">
        <f>Site_Summary[[#This Row],[Gas (kWh)]]*'Information and Variables'!$D$17</f>
        <v>18801.224999999999</v>
      </c>
    </row>
    <row r="67" spans="1:9" x14ac:dyDescent="0.25">
      <c r="A67" s="7" t="s">
        <v>19</v>
      </c>
      <c r="B67" s="148" t="s">
        <v>186</v>
      </c>
      <c r="C67" s="4" t="s">
        <v>42</v>
      </c>
      <c r="D67" s="5">
        <v>355430.16</v>
      </c>
      <c r="E67" s="5">
        <f>Site_Summary[[#This Row],[Electricity (kWh)]]*'Information and Variables'!$D$6</f>
        <v>73.591814627999995</v>
      </c>
      <c r="F67" s="102">
        <f>Site_Summary[[#This Row],[Electricity (kWh)]]*'Information and Variables'!$D$16</f>
        <v>92411.8416</v>
      </c>
      <c r="G67" s="9">
        <v>210364.55</v>
      </c>
      <c r="H67" s="5">
        <f>Site_Summary[[#This Row],[Gas (kWh)]]*'Information and Variables'!$D$7</f>
        <v>38.475676194999998</v>
      </c>
      <c r="I67" s="102">
        <f>Site_Summary[[#This Row],[Gas (kWh)]]*'Information and Variables'!$D$17</f>
        <v>15777.341249999998</v>
      </c>
    </row>
    <row r="68" spans="1:9" x14ac:dyDescent="0.25">
      <c r="A68" s="6" t="s">
        <v>19</v>
      </c>
      <c r="B68" s="147" t="s">
        <v>186</v>
      </c>
      <c r="C68" s="2" t="s">
        <v>41</v>
      </c>
      <c r="D68" s="3">
        <v>249919.88</v>
      </c>
      <c r="E68" s="3">
        <f>Site_Summary[[#This Row],[Electricity (kWh)]]*'Information and Variables'!$D$6</f>
        <v>51.745911154000005</v>
      </c>
      <c r="F68" s="101">
        <f>Site_Summary[[#This Row],[Electricity (kWh)]]*'Information and Variables'!$D$16</f>
        <v>64979.168800000007</v>
      </c>
      <c r="G68" s="8">
        <v>148049.84</v>
      </c>
      <c r="H68" s="3">
        <f>Site_Summary[[#This Row],[Gas (kWh)]]*'Information and Variables'!$D$7</f>
        <v>27.078315736</v>
      </c>
      <c r="I68" s="101">
        <f>Site_Summary[[#This Row],[Gas (kWh)]]*'Information and Variables'!$D$17</f>
        <v>11103.737999999999</v>
      </c>
    </row>
    <row r="69" spans="1:9" x14ac:dyDescent="0.25">
      <c r="A69" s="7" t="s">
        <v>19</v>
      </c>
      <c r="B69" s="148" t="s">
        <v>186</v>
      </c>
      <c r="C69" s="4" t="s">
        <v>40</v>
      </c>
      <c r="D69" s="5">
        <v>117152.96000000001</v>
      </c>
      <c r="E69" s="5">
        <f>Site_Summary[[#This Row],[Electricity (kWh)]]*'Information and Variables'!$D$6</f>
        <v>24.256520368000004</v>
      </c>
      <c r="F69" s="102">
        <f>Site_Summary[[#This Row],[Electricity (kWh)]]*'Information and Variables'!$D$16</f>
        <v>30459.769600000003</v>
      </c>
      <c r="G69" s="9">
        <v>77880.02</v>
      </c>
      <c r="H69" s="5">
        <f>Site_Summary[[#This Row],[Gas (kWh)]]*'Information and Variables'!$D$7</f>
        <v>14.244255658</v>
      </c>
      <c r="I69" s="102">
        <f>Site_Summary[[#This Row],[Gas (kWh)]]*'Information and Variables'!$D$17</f>
        <v>5841.0015000000003</v>
      </c>
    </row>
    <row r="70" spans="1:9" x14ac:dyDescent="0.25">
      <c r="A70" s="6" t="s">
        <v>18</v>
      </c>
      <c r="B70" s="147" t="s">
        <v>186</v>
      </c>
      <c r="C70" s="2" t="s">
        <v>43</v>
      </c>
      <c r="D70" s="3">
        <v>427710.34</v>
      </c>
      <c r="E70" s="3">
        <f>Site_Summary[[#This Row],[Electricity (kWh)]]*'Information and Variables'!$D$6</f>
        <v>88.557425897000016</v>
      </c>
      <c r="F70" s="101">
        <f>Site_Summary[[#This Row],[Electricity (kWh)]]*'Information and Variables'!$D$16</f>
        <v>111204.68840000001</v>
      </c>
      <c r="G70" s="8">
        <v>336695.45</v>
      </c>
      <c r="H70" s="3">
        <f>Site_Summary[[#This Row],[Gas (kWh)]]*'Information and Variables'!$D$7</f>
        <v>61.581597805000001</v>
      </c>
      <c r="I70" s="101">
        <f>Site_Summary[[#This Row],[Gas (kWh)]]*'Information and Variables'!$D$17</f>
        <v>25252.158749999999</v>
      </c>
    </row>
    <row r="71" spans="1:9" x14ac:dyDescent="0.25">
      <c r="A71" s="7" t="s">
        <v>18</v>
      </c>
      <c r="B71" s="148" t="s">
        <v>186</v>
      </c>
      <c r="C71" s="4" t="s">
        <v>42</v>
      </c>
      <c r="D71" s="5">
        <v>367219.31</v>
      </c>
      <c r="E71" s="5">
        <f>Site_Summary[[#This Row],[Electricity (kWh)]]*'Information and Variables'!$D$6</f>
        <v>76.032758135500004</v>
      </c>
      <c r="F71" s="102">
        <f>Site_Summary[[#This Row],[Electricity (kWh)]]*'Information and Variables'!$D$16</f>
        <v>95477.020600000003</v>
      </c>
      <c r="G71" s="9">
        <v>229427.4</v>
      </c>
      <c r="H71" s="5">
        <f>Site_Summary[[#This Row],[Gas (kWh)]]*'Information and Variables'!$D$7</f>
        <v>41.962271459999997</v>
      </c>
      <c r="I71" s="102">
        <f>Site_Summary[[#This Row],[Gas (kWh)]]*'Information and Variables'!$D$17</f>
        <v>17207.055</v>
      </c>
    </row>
    <row r="72" spans="1:9" x14ac:dyDescent="0.25">
      <c r="A72" s="6" t="s">
        <v>18</v>
      </c>
      <c r="B72" s="147" t="s">
        <v>186</v>
      </c>
      <c r="C72" s="2" t="s">
        <v>41</v>
      </c>
      <c r="D72" s="3">
        <v>223940.02</v>
      </c>
      <c r="E72" s="3">
        <f>Site_Summary[[#This Row],[Electricity (kWh)]]*'Information and Variables'!$D$6</f>
        <v>46.366781141000004</v>
      </c>
      <c r="F72" s="101">
        <f>Site_Summary[[#This Row],[Electricity (kWh)]]*'Information and Variables'!$D$16</f>
        <v>58224.405200000001</v>
      </c>
      <c r="G72" s="8">
        <v>174827.22</v>
      </c>
      <c r="H72" s="3">
        <f>Site_Summary[[#This Row],[Gas (kWh)]]*'Information and Variables'!$D$7</f>
        <v>31.975898537999999</v>
      </c>
      <c r="I72" s="101">
        <f>Site_Summary[[#This Row],[Gas (kWh)]]*'Information and Variables'!$D$17</f>
        <v>13112.041499999999</v>
      </c>
    </row>
    <row r="73" spans="1:9" x14ac:dyDescent="0.25">
      <c r="A73" s="7" t="s">
        <v>18</v>
      </c>
      <c r="B73" s="148" t="s">
        <v>186</v>
      </c>
      <c r="C73" s="4" t="s">
        <v>40</v>
      </c>
      <c r="D73" s="5">
        <v>118426.37</v>
      </c>
      <c r="E73" s="5">
        <f>Site_Summary[[#This Row],[Electricity (kWh)]]*'Information and Variables'!$D$6</f>
        <v>24.520179908500001</v>
      </c>
      <c r="F73" s="102">
        <f>Site_Summary[[#This Row],[Electricity (kWh)]]*'Information and Variables'!$D$16</f>
        <v>30790.856199999998</v>
      </c>
      <c r="G73" s="9">
        <v>99240.65</v>
      </c>
      <c r="H73" s="5">
        <f>Site_Summary[[#This Row],[Gas (kWh)]]*'Information and Variables'!$D$7</f>
        <v>18.151114884999998</v>
      </c>
      <c r="I73" s="102">
        <f>Site_Summary[[#This Row],[Gas (kWh)]]*'Information and Variables'!$D$17</f>
        <v>7443.048749999999</v>
      </c>
    </row>
    <row r="74" spans="1:9" x14ac:dyDescent="0.25">
      <c r="A74" s="6" t="s">
        <v>17</v>
      </c>
      <c r="B74" s="147" t="s">
        <v>186</v>
      </c>
      <c r="C74" s="2" t="s">
        <v>43</v>
      </c>
      <c r="D74" s="3">
        <v>381328.06</v>
      </c>
      <c r="E74" s="3">
        <f>Site_Summary[[#This Row],[Electricity (kWh)]]*'Information and Variables'!$D$6</f>
        <v>78.95397482300001</v>
      </c>
      <c r="F74" s="101">
        <f>Site_Summary[[#This Row],[Electricity (kWh)]]*'Information and Variables'!$D$16</f>
        <v>99145.295599999998</v>
      </c>
      <c r="G74" s="8">
        <v>544713.02</v>
      </c>
      <c r="H74" s="3">
        <f>Site_Summary[[#This Row],[Gas (kWh)]]*'Information and Variables'!$D$7</f>
        <v>99.628011358000009</v>
      </c>
      <c r="I74" s="101">
        <f>Site_Summary[[#This Row],[Gas (kWh)]]*'Information and Variables'!$D$17</f>
        <v>40853.476499999997</v>
      </c>
    </row>
    <row r="75" spans="1:9" x14ac:dyDescent="0.25">
      <c r="A75" s="7" t="s">
        <v>17</v>
      </c>
      <c r="B75" s="148" t="s">
        <v>186</v>
      </c>
      <c r="C75" s="4" t="s">
        <v>42</v>
      </c>
      <c r="D75" s="5">
        <v>373373.73</v>
      </c>
      <c r="E75" s="5">
        <f>Site_Summary[[#This Row],[Electricity (kWh)]]*'Information and Variables'!$D$6</f>
        <v>77.307030796500001</v>
      </c>
      <c r="F75" s="102">
        <f>Site_Summary[[#This Row],[Electricity (kWh)]]*'Information and Variables'!$D$16</f>
        <v>97077.169800000003</v>
      </c>
      <c r="G75" s="9">
        <v>394715.35</v>
      </c>
      <c r="H75" s="5">
        <f>Site_Summary[[#This Row],[Gas (kWh)]]*'Information and Variables'!$D$7</f>
        <v>72.193437514999999</v>
      </c>
      <c r="I75" s="102">
        <f>Site_Summary[[#This Row],[Gas (kWh)]]*'Information and Variables'!$D$17</f>
        <v>29603.651249999995</v>
      </c>
    </row>
    <row r="76" spans="1:9" x14ac:dyDescent="0.25">
      <c r="A76" s="6" t="s">
        <v>17</v>
      </c>
      <c r="B76" s="147" t="s">
        <v>186</v>
      </c>
      <c r="C76" s="2" t="s">
        <v>41</v>
      </c>
      <c r="D76" s="3">
        <v>241846.13</v>
      </c>
      <c r="E76" s="3">
        <f>Site_Summary[[#This Row],[Electricity (kWh)]]*'Information and Variables'!$D$6</f>
        <v>50.074241216500006</v>
      </c>
      <c r="F76" s="101">
        <f>Site_Summary[[#This Row],[Electricity (kWh)]]*'Information and Variables'!$D$16</f>
        <v>62879.993800000004</v>
      </c>
      <c r="G76" s="8">
        <v>311328.86</v>
      </c>
      <c r="H76" s="3">
        <f>Site_Summary[[#This Row],[Gas (kWh)]]*'Information and Variables'!$D$7</f>
        <v>56.942048493999998</v>
      </c>
      <c r="I76" s="101">
        <f>Site_Summary[[#This Row],[Gas (kWh)]]*'Information and Variables'!$D$17</f>
        <v>23349.664499999999</v>
      </c>
    </row>
    <row r="77" spans="1:9" x14ac:dyDescent="0.25">
      <c r="A77" s="7" t="s">
        <v>17</v>
      </c>
      <c r="B77" s="148" t="s">
        <v>186</v>
      </c>
      <c r="C77" s="4" t="s">
        <v>40</v>
      </c>
      <c r="D77" s="5">
        <v>110577.07</v>
      </c>
      <c r="E77" s="5">
        <f>Site_Summary[[#This Row],[Electricity (kWh)]]*'Information and Variables'!$D$6</f>
        <v>22.894982343500004</v>
      </c>
      <c r="F77" s="102">
        <f>Site_Summary[[#This Row],[Electricity (kWh)]]*'Information and Variables'!$D$16</f>
        <v>28750.038200000003</v>
      </c>
      <c r="G77" s="9">
        <v>146708.04999999999</v>
      </c>
      <c r="H77" s="5">
        <f>Site_Summary[[#This Row],[Gas (kWh)]]*'Information and Variables'!$D$7</f>
        <v>26.832902344999997</v>
      </c>
      <c r="I77" s="102">
        <f>Site_Summary[[#This Row],[Gas (kWh)]]*'Information and Variables'!$D$17</f>
        <v>11003.103749999998</v>
      </c>
    </row>
    <row r="78" spans="1:9" x14ac:dyDescent="0.25">
      <c r="A78" s="6" t="s">
        <v>16</v>
      </c>
      <c r="B78" s="147" t="s">
        <v>186</v>
      </c>
      <c r="C78" s="2" t="s">
        <v>43</v>
      </c>
      <c r="D78" s="3">
        <v>374096.77</v>
      </c>
      <c r="E78" s="3">
        <f>Site_Summary[[#This Row],[Electricity (kWh)]]*'Information and Variables'!$D$6</f>
        <v>77.456736228500006</v>
      </c>
      <c r="F78" s="101">
        <f>Site_Summary[[#This Row],[Electricity (kWh)]]*'Information and Variables'!$D$16</f>
        <v>97265.160200000013</v>
      </c>
      <c r="G78" s="8">
        <v>884811.68</v>
      </c>
      <c r="H78" s="3">
        <f>Site_Summary[[#This Row],[Gas (kWh)]]*'Information and Variables'!$D$7</f>
        <v>161.83205627200002</v>
      </c>
      <c r="I78" s="101">
        <f>Site_Summary[[#This Row],[Gas (kWh)]]*'Information and Variables'!$D$17</f>
        <v>66360.876000000004</v>
      </c>
    </row>
    <row r="79" spans="1:9" x14ac:dyDescent="0.25">
      <c r="A79" s="7" t="s">
        <v>16</v>
      </c>
      <c r="B79" s="148" t="s">
        <v>186</v>
      </c>
      <c r="C79" s="4" t="s">
        <v>42</v>
      </c>
      <c r="D79" s="5">
        <v>367480.21</v>
      </c>
      <c r="E79" s="5">
        <f>Site_Summary[[#This Row],[Electricity (kWh)]]*'Information and Variables'!$D$6</f>
        <v>76.086777480500018</v>
      </c>
      <c r="F79" s="102">
        <f>Site_Summary[[#This Row],[Electricity (kWh)]]*'Information and Variables'!$D$16</f>
        <v>95544.854600000006</v>
      </c>
      <c r="G79" s="9">
        <v>633987.52</v>
      </c>
      <c r="H79" s="5">
        <f>Site_Summary[[#This Row],[Gas (kWh)]]*'Information and Variables'!$D$7</f>
        <v>115.956317408</v>
      </c>
      <c r="I79" s="102">
        <f>Site_Summary[[#This Row],[Gas (kWh)]]*'Information and Variables'!$D$17</f>
        <v>47549.063999999998</v>
      </c>
    </row>
    <row r="80" spans="1:9" x14ac:dyDescent="0.25">
      <c r="A80" s="6" t="s">
        <v>16</v>
      </c>
      <c r="B80" s="147" t="s">
        <v>186</v>
      </c>
      <c r="C80" s="2" t="s">
        <v>41</v>
      </c>
      <c r="D80" s="3">
        <v>249302.92</v>
      </c>
      <c r="E80" s="3">
        <f>Site_Summary[[#This Row],[Electricity (kWh)]]*'Information and Variables'!$D$6</f>
        <v>51.618169586000008</v>
      </c>
      <c r="F80" s="101">
        <f>Site_Summary[[#This Row],[Electricity (kWh)]]*'Information and Variables'!$D$16</f>
        <v>64818.759200000008</v>
      </c>
      <c r="G80" s="8">
        <v>456849.38</v>
      </c>
      <c r="H80" s="3">
        <f>Site_Summary[[#This Row],[Gas (kWh)]]*'Information and Variables'!$D$7</f>
        <v>83.557751601999996</v>
      </c>
      <c r="I80" s="101">
        <f>Site_Summary[[#This Row],[Gas (kWh)]]*'Information and Variables'!$D$17</f>
        <v>34263.703499999996</v>
      </c>
    </row>
    <row r="81" spans="1:9" x14ac:dyDescent="0.25">
      <c r="A81" s="7" t="s">
        <v>16</v>
      </c>
      <c r="B81" s="148" t="s">
        <v>186</v>
      </c>
      <c r="C81" s="4" t="s">
        <v>40</v>
      </c>
      <c r="D81" s="5">
        <v>116908.78</v>
      </c>
      <c r="E81" s="5">
        <f>Site_Summary[[#This Row],[Electricity (kWh)]]*'Information and Variables'!$D$6</f>
        <v>24.205962899000003</v>
      </c>
      <c r="F81" s="102">
        <f>Site_Summary[[#This Row],[Electricity (kWh)]]*'Information and Variables'!$D$16</f>
        <v>30396.282800000001</v>
      </c>
      <c r="G81" s="9">
        <v>226593.63</v>
      </c>
      <c r="H81" s="5">
        <f>Site_Summary[[#This Row],[Gas (kWh)]]*'Information and Variables'!$D$7</f>
        <v>41.443974926999999</v>
      </c>
      <c r="I81" s="102">
        <f>Site_Summary[[#This Row],[Gas (kWh)]]*'Information and Variables'!$D$17</f>
        <v>16994.522249999998</v>
      </c>
    </row>
    <row r="82" spans="1:9" x14ac:dyDescent="0.25">
      <c r="A82" s="6" t="s">
        <v>15</v>
      </c>
      <c r="B82" s="147" t="s">
        <v>186</v>
      </c>
      <c r="C82" s="2" t="s">
        <v>43</v>
      </c>
      <c r="D82" s="3">
        <v>392609.55</v>
      </c>
      <c r="E82" s="3">
        <f>Site_Summary[[#This Row],[Electricity (kWh)]]*'Information and Variables'!$D$6</f>
        <v>81.2898073275</v>
      </c>
      <c r="F82" s="101">
        <f>Site_Summary[[#This Row],[Electricity (kWh)]]*'Information and Variables'!$D$16</f>
        <v>102078.48300000001</v>
      </c>
      <c r="G82" s="8">
        <v>1266663.74</v>
      </c>
      <c r="H82" s="3">
        <f>Site_Summary[[#This Row],[Gas (kWh)]]*'Information and Variables'!$D$7</f>
        <v>231.672798046</v>
      </c>
      <c r="I82" s="101">
        <f>Site_Summary[[#This Row],[Gas (kWh)]]*'Information and Variables'!$D$17</f>
        <v>94999.780499999993</v>
      </c>
    </row>
    <row r="83" spans="1:9" x14ac:dyDescent="0.25">
      <c r="A83" s="7" t="s">
        <v>15</v>
      </c>
      <c r="B83" s="148" t="s">
        <v>186</v>
      </c>
      <c r="C83" s="4" t="s">
        <v>42</v>
      </c>
      <c r="D83" s="5">
        <v>333592.26</v>
      </c>
      <c r="E83" s="5">
        <f>Site_Summary[[#This Row],[Electricity (kWh)]]*'Information and Variables'!$D$6</f>
        <v>69.070277433000001</v>
      </c>
      <c r="F83" s="102">
        <f>Site_Summary[[#This Row],[Electricity (kWh)]]*'Information and Variables'!$D$16</f>
        <v>86733.987600000008</v>
      </c>
      <c r="G83" s="9">
        <v>812453.46</v>
      </c>
      <c r="H83" s="5">
        <f>Site_Summary[[#This Row],[Gas (kWh)]]*'Information and Variables'!$D$7</f>
        <v>148.59773783399999</v>
      </c>
      <c r="I83" s="102">
        <f>Site_Summary[[#This Row],[Gas (kWh)]]*'Information and Variables'!$D$17</f>
        <v>60934.009499999993</v>
      </c>
    </row>
    <row r="84" spans="1:9" x14ac:dyDescent="0.25">
      <c r="A84" s="6" t="s">
        <v>15</v>
      </c>
      <c r="B84" s="147" t="s">
        <v>186</v>
      </c>
      <c r="C84" s="2" t="s">
        <v>41</v>
      </c>
      <c r="D84" s="3">
        <v>237962.3</v>
      </c>
      <c r="E84" s="3">
        <f>Site_Summary[[#This Row],[Electricity (kWh)]]*'Information and Variables'!$D$6</f>
        <v>49.270094215</v>
      </c>
      <c r="F84" s="101">
        <f>Site_Summary[[#This Row],[Electricity (kWh)]]*'Information and Variables'!$D$16</f>
        <v>61870.197999999997</v>
      </c>
      <c r="G84" s="8">
        <v>594974.67000000004</v>
      </c>
      <c r="H84" s="3">
        <f>Site_Summary[[#This Row],[Gas (kWh)]]*'Information and Variables'!$D$7</f>
        <v>108.820867143</v>
      </c>
      <c r="I84" s="101">
        <f>Site_Summary[[#This Row],[Gas (kWh)]]*'Information and Variables'!$D$17</f>
        <v>44623.100250000003</v>
      </c>
    </row>
    <row r="85" spans="1:9" x14ac:dyDescent="0.25">
      <c r="A85" s="7" t="s">
        <v>15</v>
      </c>
      <c r="B85" s="148" t="s">
        <v>186</v>
      </c>
      <c r="C85" s="4" t="s">
        <v>40</v>
      </c>
      <c r="D85" s="5">
        <v>114783.26</v>
      </c>
      <c r="E85" s="5">
        <f>Site_Summary[[#This Row],[Electricity (kWh)]]*'Information and Variables'!$D$6</f>
        <v>23.765873983000002</v>
      </c>
      <c r="F85" s="102">
        <f>Site_Summary[[#This Row],[Electricity (kWh)]]*'Information and Variables'!$D$16</f>
        <v>29843.6476</v>
      </c>
      <c r="G85" s="9">
        <v>349514.94</v>
      </c>
      <c r="H85" s="5">
        <f>Site_Summary[[#This Row],[Gas (kWh)]]*'Information and Variables'!$D$7</f>
        <v>63.926282526000001</v>
      </c>
      <c r="I85" s="102">
        <f>Site_Summary[[#This Row],[Gas (kWh)]]*'Information and Variables'!$D$17</f>
        <v>26213.620500000001</v>
      </c>
    </row>
    <row r="86" spans="1:9" x14ac:dyDescent="0.25">
      <c r="A86" s="6" t="s">
        <v>14</v>
      </c>
      <c r="B86" s="147" t="s">
        <v>186</v>
      </c>
      <c r="C86" s="2" t="s">
        <v>43</v>
      </c>
      <c r="D86" s="3">
        <v>396976.48</v>
      </c>
      <c r="E86" s="3">
        <f>Site_Summary[[#This Row],[Electricity (kWh)]]*'Information and Variables'!$D$6</f>
        <v>82.193980183999997</v>
      </c>
      <c r="F86" s="101">
        <f>Site_Summary[[#This Row],[Electricity (kWh)]]*'Information and Variables'!$D$16</f>
        <v>103213.8848</v>
      </c>
      <c r="G86" s="8">
        <v>1368568.35</v>
      </c>
      <c r="H86" s="3">
        <f>Site_Summary[[#This Row],[Gas (kWh)]]*'Information and Variables'!$D$7</f>
        <v>250.31115121500002</v>
      </c>
      <c r="I86" s="101">
        <f>Site_Summary[[#This Row],[Gas (kWh)]]*'Information and Variables'!$D$17</f>
        <v>102642.62625</v>
      </c>
    </row>
    <row r="87" spans="1:9" x14ac:dyDescent="0.25">
      <c r="A87" s="7" t="s">
        <v>14</v>
      </c>
      <c r="B87" s="148" t="s">
        <v>186</v>
      </c>
      <c r="C87" s="4" t="s">
        <v>42</v>
      </c>
      <c r="D87" s="5">
        <v>327356.03999999998</v>
      </c>
      <c r="E87" s="5">
        <f>Site_Summary[[#This Row],[Electricity (kWh)]]*'Information and Variables'!$D$6</f>
        <v>67.779068081999995</v>
      </c>
      <c r="F87" s="102">
        <f>Site_Summary[[#This Row],[Electricity (kWh)]]*'Information and Variables'!$D$16</f>
        <v>85112.570399999997</v>
      </c>
      <c r="G87" s="9">
        <v>964810.97</v>
      </c>
      <c r="H87" s="5">
        <f>Site_Summary[[#This Row],[Gas (kWh)]]*'Information and Variables'!$D$7</f>
        <v>176.463926413</v>
      </c>
      <c r="I87" s="102">
        <f>Site_Summary[[#This Row],[Gas (kWh)]]*'Information and Variables'!$D$17</f>
        <v>72360.822749999992</v>
      </c>
    </row>
    <row r="88" spans="1:9" x14ac:dyDescent="0.25">
      <c r="A88" s="6" t="s">
        <v>14</v>
      </c>
      <c r="B88" s="147" t="s">
        <v>186</v>
      </c>
      <c r="C88" s="2" t="s">
        <v>41</v>
      </c>
      <c r="D88" s="3">
        <v>215730.27</v>
      </c>
      <c r="E88" s="3">
        <f>Site_Summary[[#This Row],[Electricity (kWh)]]*'Information and Variables'!$D$6</f>
        <v>44.666952403500005</v>
      </c>
      <c r="F88" s="101">
        <f>Site_Summary[[#This Row],[Electricity (kWh)]]*'Information and Variables'!$D$16</f>
        <v>56089.870199999998</v>
      </c>
      <c r="G88" s="8">
        <v>778530.38</v>
      </c>
      <c r="H88" s="3">
        <f>Site_Summary[[#This Row],[Gas (kWh)]]*'Information and Variables'!$D$7</f>
        <v>142.393206502</v>
      </c>
      <c r="I88" s="101">
        <f>Site_Summary[[#This Row],[Gas (kWh)]]*'Information and Variables'!$D$17</f>
        <v>58389.7785</v>
      </c>
    </row>
    <row r="89" spans="1:9" x14ac:dyDescent="0.25">
      <c r="A89" s="7" t="s">
        <v>14</v>
      </c>
      <c r="B89" s="148" t="s">
        <v>186</v>
      </c>
      <c r="C89" s="4" t="s">
        <v>40</v>
      </c>
      <c r="D89" s="5">
        <v>118932.4</v>
      </c>
      <c r="E89" s="5">
        <f>Site_Summary[[#This Row],[Electricity (kWh)]]*'Information and Variables'!$D$6</f>
        <v>24.624953420000001</v>
      </c>
      <c r="F89" s="102">
        <f>Site_Summary[[#This Row],[Electricity (kWh)]]*'Information and Variables'!$D$16</f>
        <v>30922.423999999999</v>
      </c>
      <c r="G89" s="9">
        <v>354778.82</v>
      </c>
      <c r="H89" s="5">
        <f>Site_Summary[[#This Row],[Gas (kWh)]]*'Information and Variables'!$D$7</f>
        <v>64.889046178000001</v>
      </c>
      <c r="I89" s="102">
        <f>Site_Summary[[#This Row],[Gas (kWh)]]*'Information and Variables'!$D$17</f>
        <v>26608.411499999998</v>
      </c>
    </row>
    <row r="90" spans="1:9" x14ac:dyDescent="0.25">
      <c r="A90" s="6" t="s">
        <v>13</v>
      </c>
      <c r="B90" s="147" t="s">
        <v>186</v>
      </c>
      <c r="C90" s="2" t="s">
        <v>43</v>
      </c>
      <c r="D90" s="3">
        <v>416364.41</v>
      </c>
      <c r="E90" s="3">
        <f>Site_Summary[[#This Row],[Electricity (kWh)]]*'Information and Variables'!$D$6</f>
        <v>86.208251090499999</v>
      </c>
      <c r="F90" s="101">
        <f>Site_Summary[[#This Row],[Electricity (kWh)]]*'Information and Variables'!$D$16</f>
        <v>108254.7466</v>
      </c>
      <c r="G90" s="8">
        <v>957886.95</v>
      </c>
      <c r="H90" s="3">
        <f>Site_Summary[[#This Row],[Gas (kWh)]]*'Information and Variables'!$D$7</f>
        <v>175.197523155</v>
      </c>
      <c r="I90" s="101">
        <f>Site_Summary[[#This Row],[Gas (kWh)]]*'Information and Variables'!$D$17</f>
        <v>71841.521249999991</v>
      </c>
    </row>
    <row r="91" spans="1:9" x14ac:dyDescent="0.25">
      <c r="A91" s="7" t="s">
        <v>13</v>
      </c>
      <c r="B91" s="148" t="s">
        <v>186</v>
      </c>
      <c r="C91" s="4" t="s">
        <v>42</v>
      </c>
      <c r="D91" s="5">
        <v>368212.38</v>
      </c>
      <c r="E91" s="5">
        <f>Site_Summary[[#This Row],[Electricity (kWh)]]*'Information and Variables'!$D$6</f>
        <v>76.238373279000001</v>
      </c>
      <c r="F91" s="102">
        <f>Site_Summary[[#This Row],[Electricity (kWh)]]*'Information and Variables'!$D$16</f>
        <v>95735.218800000002</v>
      </c>
      <c r="G91" s="9">
        <v>787291.23</v>
      </c>
      <c r="H91" s="5">
        <f>Site_Summary[[#This Row],[Gas (kWh)]]*'Information and Variables'!$D$7</f>
        <v>143.995565967</v>
      </c>
      <c r="I91" s="102">
        <f>Site_Summary[[#This Row],[Gas (kWh)]]*'Information and Variables'!$D$17</f>
        <v>59046.842249999994</v>
      </c>
    </row>
    <row r="92" spans="1:9" x14ac:dyDescent="0.25">
      <c r="A92" s="6" t="s">
        <v>13</v>
      </c>
      <c r="B92" s="147" t="s">
        <v>186</v>
      </c>
      <c r="C92" s="2" t="s">
        <v>41</v>
      </c>
      <c r="D92" s="3">
        <v>236314.69</v>
      </c>
      <c r="E92" s="3">
        <f>Site_Summary[[#This Row],[Electricity (kWh)]]*'Information and Variables'!$D$6</f>
        <v>48.928956564500005</v>
      </c>
      <c r="F92" s="101">
        <f>Site_Summary[[#This Row],[Electricity (kWh)]]*'Information and Variables'!$D$16</f>
        <v>61441.8194</v>
      </c>
      <c r="G92" s="8">
        <v>487706.54</v>
      </c>
      <c r="H92" s="3">
        <f>Site_Summary[[#This Row],[Gas (kWh)]]*'Information and Variables'!$D$7</f>
        <v>89.201526165999994</v>
      </c>
      <c r="I92" s="101">
        <f>Site_Summary[[#This Row],[Gas (kWh)]]*'Information and Variables'!$D$17</f>
        <v>36577.9905</v>
      </c>
    </row>
    <row r="93" spans="1:9" x14ac:dyDescent="0.25">
      <c r="A93" s="7" t="s">
        <v>13</v>
      </c>
      <c r="B93" s="148" t="s">
        <v>186</v>
      </c>
      <c r="C93" s="4" t="s">
        <v>40</v>
      </c>
      <c r="D93" s="5">
        <v>107581.49</v>
      </c>
      <c r="E93" s="5">
        <f>Site_Summary[[#This Row],[Electricity (kWh)]]*'Information and Variables'!$D$6</f>
        <v>22.274747504500002</v>
      </c>
      <c r="F93" s="102">
        <f>Site_Summary[[#This Row],[Electricity (kWh)]]*'Information and Variables'!$D$16</f>
        <v>27971.187400000003</v>
      </c>
      <c r="G93" s="9">
        <v>252663.67</v>
      </c>
      <c r="H93" s="5">
        <f>Site_Summary[[#This Row],[Gas (kWh)]]*'Information and Variables'!$D$7</f>
        <v>46.212185243</v>
      </c>
      <c r="I93" s="102">
        <f>Site_Summary[[#This Row],[Gas (kWh)]]*'Information and Variables'!$D$17</f>
        <v>18949.775249999999</v>
      </c>
    </row>
    <row r="94" spans="1:9" x14ac:dyDescent="0.25">
      <c r="A94" s="6" t="s">
        <v>12</v>
      </c>
      <c r="B94" s="147" t="s">
        <v>186</v>
      </c>
      <c r="C94" s="2" t="s">
        <v>43</v>
      </c>
      <c r="D94" s="3">
        <v>451252.45</v>
      </c>
      <c r="E94" s="3">
        <f>Site_Summary[[#This Row],[Electricity (kWh)]]*'Information and Variables'!$D$6</f>
        <v>93.431819772500006</v>
      </c>
      <c r="F94" s="101">
        <f>Site_Summary[[#This Row],[Electricity (kWh)]]*'Information and Variables'!$D$16</f>
        <v>117325.637</v>
      </c>
      <c r="G94" s="8">
        <v>647146.79</v>
      </c>
      <c r="H94" s="3">
        <f>Site_Summary[[#This Row],[Gas (kWh)]]*'Information and Variables'!$D$7</f>
        <v>118.36314789100001</v>
      </c>
      <c r="I94" s="101">
        <f>Site_Summary[[#This Row],[Gas (kWh)]]*'Information and Variables'!$D$17</f>
        <v>48536.009250000003</v>
      </c>
    </row>
    <row r="95" spans="1:9" x14ac:dyDescent="0.25">
      <c r="A95" s="7" t="s">
        <v>12</v>
      </c>
      <c r="B95" s="148" t="s">
        <v>186</v>
      </c>
      <c r="C95" s="4" t="s">
        <v>42</v>
      </c>
      <c r="D95" s="5">
        <v>312055.46999999997</v>
      </c>
      <c r="E95" s="5">
        <f>Site_Summary[[#This Row],[Electricity (kWh)]]*'Information and Variables'!$D$6</f>
        <v>64.611085063499999</v>
      </c>
      <c r="F95" s="102">
        <f>Site_Summary[[#This Row],[Electricity (kWh)]]*'Information and Variables'!$D$16</f>
        <v>81134.422200000001</v>
      </c>
      <c r="G95" s="9">
        <v>441535.05</v>
      </c>
      <c r="H95" s="5">
        <f>Site_Summary[[#This Row],[Gas (kWh)]]*'Information and Variables'!$D$7</f>
        <v>80.756760645</v>
      </c>
      <c r="I95" s="102">
        <f>Site_Summary[[#This Row],[Gas (kWh)]]*'Information and Variables'!$D$17</f>
        <v>33115.128749999996</v>
      </c>
    </row>
    <row r="96" spans="1:9" x14ac:dyDescent="0.25">
      <c r="A96" s="6" t="s">
        <v>12</v>
      </c>
      <c r="B96" s="147" t="s">
        <v>186</v>
      </c>
      <c r="C96" s="2" t="s">
        <v>41</v>
      </c>
      <c r="D96" s="3">
        <v>212946.33</v>
      </c>
      <c r="E96" s="3">
        <f>Site_Summary[[#This Row],[Electricity (kWh)]]*'Information and Variables'!$D$6</f>
        <v>44.090537626500002</v>
      </c>
      <c r="F96" s="101">
        <f>Site_Summary[[#This Row],[Electricity (kWh)]]*'Information and Variables'!$D$16</f>
        <v>55366.0458</v>
      </c>
      <c r="G96" s="8">
        <v>335084.96999999997</v>
      </c>
      <c r="H96" s="3">
        <f>Site_Summary[[#This Row],[Gas (kWh)]]*'Information and Variables'!$D$7</f>
        <v>61.287041012999993</v>
      </c>
      <c r="I96" s="101">
        <f>Site_Summary[[#This Row],[Gas (kWh)]]*'Information and Variables'!$D$17</f>
        <v>25131.372749999999</v>
      </c>
    </row>
    <row r="97" spans="1:9" x14ac:dyDescent="0.25">
      <c r="A97" s="7" t="s">
        <v>12</v>
      </c>
      <c r="B97" s="148" t="s">
        <v>186</v>
      </c>
      <c r="C97" s="4" t="s">
        <v>40</v>
      </c>
      <c r="D97" s="5">
        <v>112054.07</v>
      </c>
      <c r="E97" s="5">
        <f>Site_Summary[[#This Row],[Electricity (kWh)]]*'Information and Variables'!$D$6</f>
        <v>23.200795193500003</v>
      </c>
      <c r="F97" s="102">
        <f>Site_Summary[[#This Row],[Electricity (kWh)]]*'Information and Variables'!$D$16</f>
        <v>29134.058200000003</v>
      </c>
      <c r="G97" s="9">
        <v>149682.94</v>
      </c>
      <c r="H97" s="5">
        <f>Site_Summary[[#This Row],[Gas (kWh)]]*'Information and Variables'!$D$7</f>
        <v>27.377009726000001</v>
      </c>
      <c r="I97" s="102">
        <f>Site_Summary[[#This Row],[Gas (kWh)]]*'Information and Variables'!$D$17</f>
        <v>11226.220499999999</v>
      </c>
    </row>
    <row r="98" spans="1:9" x14ac:dyDescent="0.25">
      <c r="A98" s="6" t="s">
        <v>11</v>
      </c>
      <c r="B98" s="147" t="s">
        <v>187</v>
      </c>
      <c r="C98" s="2" t="s">
        <v>43</v>
      </c>
      <c r="D98" s="3">
        <v>472886.56</v>
      </c>
      <c r="E98" s="3">
        <f>Site_Summary[[#This Row],[Electricity (kWh)]]*'Information and Variables'!$D$8</f>
        <v>83.70092111999999</v>
      </c>
      <c r="F98" s="101">
        <f>Site_Summary[[#This Row],[Electricity (kWh)]]*'Information and Variables'!$D$18</f>
        <v>118221.64</v>
      </c>
      <c r="G98" s="8">
        <v>470373.97</v>
      </c>
      <c r="H98" s="3">
        <f>Site_Summary[[#This Row],[Gas (kWh)]]*'Information and Variables'!$D$9</f>
        <v>86.05962155120001</v>
      </c>
      <c r="I98" s="101">
        <f>Site_Summary[[#This Row],[Gas (kWh)]]*'Information and Variables'!$D$19</f>
        <v>30574.30805</v>
      </c>
    </row>
    <row r="99" spans="1:9" x14ac:dyDescent="0.25">
      <c r="A99" s="7" t="s">
        <v>11</v>
      </c>
      <c r="B99" s="148" t="s">
        <v>187</v>
      </c>
      <c r="C99" s="4" t="s">
        <v>42</v>
      </c>
      <c r="D99" s="5">
        <v>296323.13</v>
      </c>
      <c r="E99" s="5">
        <f>Site_Summary[[#This Row],[Electricity (kWh)]]*'Information and Variables'!$D$8</f>
        <v>52.449194009999999</v>
      </c>
      <c r="F99" s="102">
        <f>Site_Summary[[#This Row],[Electricity (kWh)]]*'Information and Variables'!$D$18</f>
        <v>74080.782500000001</v>
      </c>
      <c r="G99" s="9">
        <v>282898.32</v>
      </c>
      <c r="H99" s="5">
        <f>Site_Summary[[#This Row],[Gas (kWh)]]*'Information and Variables'!$D$9</f>
        <v>51.75907662720001</v>
      </c>
      <c r="I99" s="102">
        <f>Site_Summary[[#This Row],[Gas (kWh)]]*'Information and Variables'!$D$19</f>
        <v>18388.390800000001</v>
      </c>
    </row>
    <row r="100" spans="1:9" x14ac:dyDescent="0.25">
      <c r="A100" s="6" t="s">
        <v>11</v>
      </c>
      <c r="B100" s="147" t="s">
        <v>187</v>
      </c>
      <c r="C100" s="2" t="s">
        <v>41</v>
      </c>
      <c r="D100" s="3">
        <v>201453.37</v>
      </c>
      <c r="E100" s="3">
        <f>Site_Summary[[#This Row],[Electricity (kWh)]]*'Information and Variables'!$D$8</f>
        <v>35.657246489999999</v>
      </c>
      <c r="F100" s="101">
        <f>Site_Summary[[#This Row],[Electricity (kWh)]]*'Information and Variables'!$D$18</f>
        <v>50363.342499999999</v>
      </c>
      <c r="G100" s="8">
        <v>200333.2</v>
      </c>
      <c r="H100" s="3">
        <f>Site_Summary[[#This Row],[Gas (kWh)]]*'Information and Variables'!$D$9</f>
        <v>36.652962272000003</v>
      </c>
      <c r="I100" s="101">
        <f>Site_Summary[[#This Row],[Gas (kWh)]]*'Information and Variables'!$D$19</f>
        <v>13021.658000000001</v>
      </c>
    </row>
    <row r="101" spans="1:9" x14ac:dyDescent="0.25">
      <c r="A101" s="7" t="s">
        <v>11</v>
      </c>
      <c r="B101" s="148" t="s">
        <v>187</v>
      </c>
      <c r="C101" s="4" t="s">
        <v>40</v>
      </c>
      <c r="D101" s="5">
        <v>103137.55</v>
      </c>
      <c r="E101" s="5">
        <f>Site_Summary[[#This Row],[Electricity (kWh)]]*'Information and Variables'!$D$8</f>
        <v>18.25534635</v>
      </c>
      <c r="F101" s="102">
        <f>Site_Summary[[#This Row],[Electricity (kWh)]]*'Information and Variables'!$D$18</f>
        <v>25784.387500000001</v>
      </c>
      <c r="G101" s="9">
        <v>104561.60000000001</v>
      </c>
      <c r="H101" s="5">
        <f>Site_Summary[[#This Row],[Gas (kWh)]]*'Information and Variables'!$D$9</f>
        <v>19.130590336000004</v>
      </c>
      <c r="I101" s="102">
        <f>Site_Summary[[#This Row],[Gas (kWh)]]*'Information and Variables'!$D$19</f>
        <v>6796.5040000000008</v>
      </c>
    </row>
    <row r="102" spans="1:9" x14ac:dyDescent="0.25">
      <c r="A102" s="6" t="s">
        <v>10</v>
      </c>
      <c r="B102" s="147" t="s">
        <v>187</v>
      </c>
      <c r="C102" s="2" t="s">
        <v>43</v>
      </c>
      <c r="D102" s="3">
        <v>425633.39</v>
      </c>
      <c r="E102" s="3">
        <f>Site_Summary[[#This Row],[Electricity (kWh)]]*'Information and Variables'!$D$8</f>
        <v>75.337110030000005</v>
      </c>
      <c r="F102" s="101">
        <f>Site_Summary[[#This Row],[Electricity (kWh)]]*'Information and Variables'!$D$18</f>
        <v>106408.3475</v>
      </c>
      <c r="G102" s="8">
        <v>339499.47</v>
      </c>
      <c r="H102" s="3">
        <f>Site_Summary[[#This Row],[Gas (kWh)]]*'Information and Variables'!$D$9</f>
        <v>62.114823031200004</v>
      </c>
      <c r="I102" s="101">
        <f>Site_Summary[[#This Row],[Gas (kWh)]]*'Information and Variables'!$D$19</f>
        <v>22067.465549999997</v>
      </c>
    </row>
    <row r="103" spans="1:9" x14ac:dyDescent="0.25">
      <c r="A103" s="7" t="s">
        <v>10</v>
      </c>
      <c r="B103" s="148" t="s">
        <v>187</v>
      </c>
      <c r="C103" s="4" t="s">
        <v>42</v>
      </c>
      <c r="D103" s="5">
        <v>349114.08</v>
      </c>
      <c r="E103" s="5">
        <f>Site_Summary[[#This Row],[Electricity (kWh)]]*'Information and Variables'!$D$8</f>
        <v>61.793192160000004</v>
      </c>
      <c r="F103" s="102">
        <f>Site_Summary[[#This Row],[Electricity (kWh)]]*'Information and Variables'!$D$18</f>
        <v>87278.52</v>
      </c>
      <c r="G103" s="9">
        <v>235046.25</v>
      </c>
      <c r="H103" s="5">
        <f>Site_Summary[[#This Row],[Gas (kWh)]]*'Information and Variables'!$D$9</f>
        <v>43.004061900000004</v>
      </c>
      <c r="I103" s="102">
        <f>Site_Summary[[#This Row],[Gas (kWh)]]*'Information and Variables'!$D$19</f>
        <v>15278.00625</v>
      </c>
    </row>
    <row r="104" spans="1:9" x14ac:dyDescent="0.25">
      <c r="A104" s="6" t="s">
        <v>10</v>
      </c>
      <c r="B104" s="147" t="s">
        <v>187</v>
      </c>
      <c r="C104" s="2" t="s">
        <v>41</v>
      </c>
      <c r="D104" s="3">
        <v>205572.32</v>
      </c>
      <c r="E104" s="3">
        <f>Site_Summary[[#This Row],[Electricity (kWh)]]*'Information and Variables'!$D$8</f>
        <v>36.386300640000002</v>
      </c>
      <c r="F104" s="101">
        <f>Site_Summary[[#This Row],[Electricity (kWh)]]*'Information and Variables'!$D$18</f>
        <v>51393.08</v>
      </c>
      <c r="G104" s="8">
        <v>151907.91</v>
      </c>
      <c r="H104" s="3">
        <f>Site_Summary[[#This Row],[Gas (kWh)]]*'Information and Variables'!$D$9</f>
        <v>27.793071213600005</v>
      </c>
      <c r="I104" s="101">
        <f>Site_Summary[[#This Row],[Gas (kWh)]]*'Information and Variables'!$D$19</f>
        <v>9874.0141500000009</v>
      </c>
    </row>
    <row r="105" spans="1:9" x14ac:dyDescent="0.25">
      <c r="A105" s="7" t="s">
        <v>10</v>
      </c>
      <c r="B105" s="148" t="s">
        <v>187</v>
      </c>
      <c r="C105" s="4" t="s">
        <v>40</v>
      </c>
      <c r="D105" s="5">
        <v>97620.53</v>
      </c>
      <c r="E105" s="5">
        <f>Site_Summary[[#This Row],[Electricity (kWh)]]*'Information and Variables'!$D$8</f>
        <v>17.278833809999998</v>
      </c>
      <c r="F105" s="102">
        <f>Site_Summary[[#This Row],[Electricity (kWh)]]*'Information and Variables'!$D$18</f>
        <v>24405.1325</v>
      </c>
      <c r="G105" s="9">
        <v>77661.22</v>
      </c>
      <c r="H105" s="5">
        <f>Site_Summary[[#This Row],[Gas (kWh)]]*'Information and Variables'!$D$9</f>
        <v>14.208896811200002</v>
      </c>
      <c r="I105" s="102">
        <f>Site_Summary[[#This Row],[Gas (kWh)]]*'Information and Variables'!$D$19</f>
        <v>5047.9793</v>
      </c>
    </row>
    <row r="106" spans="1:9" x14ac:dyDescent="0.25">
      <c r="A106" s="6" t="s">
        <v>9</v>
      </c>
      <c r="B106" s="147" t="s">
        <v>187</v>
      </c>
      <c r="C106" s="2" t="s">
        <v>43</v>
      </c>
      <c r="D106" s="3">
        <v>421620.06</v>
      </c>
      <c r="E106" s="3">
        <f>Site_Summary[[#This Row],[Electricity (kWh)]]*'Information and Variables'!$D$8</f>
        <v>74.626750619999996</v>
      </c>
      <c r="F106" s="101">
        <f>Site_Summary[[#This Row],[Electricity (kWh)]]*'Information and Variables'!$D$18</f>
        <v>105405.015</v>
      </c>
      <c r="G106" s="8">
        <v>279080.59000000003</v>
      </c>
      <c r="H106" s="3">
        <f>Site_Summary[[#This Row],[Gas (kWh)]]*'Information and Variables'!$D$9</f>
        <v>51.060584746400011</v>
      </c>
      <c r="I106" s="101">
        <f>Site_Summary[[#This Row],[Gas (kWh)]]*'Information and Variables'!$D$19</f>
        <v>18140.238350000003</v>
      </c>
    </row>
    <row r="107" spans="1:9" x14ac:dyDescent="0.25">
      <c r="A107" s="7" t="s">
        <v>9</v>
      </c>
      <c r="B107" s="148" t="s">
        <v>187</v>
      </c>
      <c r="C107" s="4" t="s">
        <v>42</v>
      </c>
      <c r="D107" s="5">
        <v>321910.62</v>
      </c>
      <c r="E107" s="5">
        <f>Site_Summary[[#This Row],[Electricity (kWh)]]*'Information and Variables'!$D$8</f>
        <v>56.978179739999995</v>
      </c>
      <c r="F107" s="102">
        <f>Site_Summary[[#This Row],[Electricity (kWh)]]*'Information and Variables'!$D$18</f>
        <v>80477.654999999999</v>
      </c>
      <c r="G107" s="9">
        <v>202844.48</v>
      </c>
      <c r="H107" s="5">
        <f>Site_Summary[[#This Row],[Gas (kWh)]]*'Information and Variables'!$D$9</f>
        <v>37.112426060800004</v>
      </c>
      <c r="I107" s="102">
        <f>Site_Summary[[#This Row],[Gas (kWh)]]*'Information and Variables'!$D$19</f>
        <v>13184.891200000002</v>
      </c>
    </row>
    <row r="108" spans="1:9" x14ac:dyDescent="0.25">
      <c r="A108" s="6" t="s">
        <v>9</v>
      </c>
      <c r="B108" s="147" t="s">
        <v>187</v>
      </c>
      <c r="C108" s="2" t="s">
        <v>41</v>
      </c>
      <c r="D108" s="3">
        <v>207975.13</v>
      </c>
      <c r="E108" s="3">
        <f>Site_Summary[[#This Row],[Electricity (kWh)]]*'Information and Variables'!$D$8</f>
        <v>36.811598009999997</v>
      </c>
      <c r="F108" s="101">
        <f>Site_Summary[[#This Row],[Electricity (kWh)]]*'Information and Variables'!$D$18</f>
        <v>51993.782500000001</v>
      </c>
      <c r="G108" s="8">
        <v>121860.22</v>
      </c>
      <c r="H108" s="3">
        <f>Site_Summary[[#This Row],[Gas (kWh)]]*'Information and Variables'!$D$9</f>
        <v>22.295545851200004</v>
      </c>
      <c r="I108" s="101">
        <f>Site_Summary[[#This Row],[Gas (kWh)]]*'Information and Variables'!$D$19</f>
        <v>7920.9143000000004</v>
      </c>
    </row>
    <row r="109" spans="1:9" x14ac:dyDescent="0.25">
      <c r="A109" s="7" t="s">
        <v>9</v>
      </c>
      <c r="B109" s="148" t="s">
        <v>187</v>
      </c>
      <c r="C109" s="4" t="s">
        <v>40</v>
      </c>
      <c r="D109" s="5">
        <v>114688.24</v>
      </c>
      <c r="E109" s="5">
        <f>Site_Summary[[#This Row],[Electricity (kWh)]]*'Information and Variables'!$D$8</f>
        <v>20.299818479999999</v>
      </c>
      <c r="F109" s="102">
        <f>Site_Summary[[#This Row],[Electricity (kWh)]]*'Information and Variables'!$D$18</f>
        <v>28672.06</v>
      </c>
      <c r="G109" s="9">
        <v>66549.59</v>
      </c>
      <c r="H109" s="5">
        <f>Site_Summary[[#This Row],[Gas (kWh)]]*'Information and Variables'!$D$9</f>
        <v>12.1759129864</v>
      </c>
      <c r="I109" s="102">
        <f>Site_Summary[[#This Row],[Gas (kWh)]]*'Information and Variables'!$D$19</f>
        <v>4325.7233500000002</v>
      </c>
    </row>
    <row r="110" spans="1:9" x14ac:dyDescent="0.25">
      <c r="A110" s="6" t="s">
        <v>8</v>
      </c>
      <c r="B110" s="147" t="s">
        <v>187</v>
      </c>
      <c r="C110" s="2" t="s">
        <v>43</v>
      </c>
      <c r="D110" s="3">
        <v>453478.85</v>
      </c>
      <c r="E110" s="3">
        <f>Site_Summary[[#This Row],[Electricity (kWh)]]*'Information and Variables'!$D$8</f>
        <v>80.265756449999998</v>
      </c>
      <c r="F110" s="101">
        <f>Site_Summary[[#This Row],[Electricity (kWh)]]*'Information and Variables'!$D$18</f>
        <v>113369.71249999999</v>
      </c>
      <c r="G110" s="8">
        <v>275958.5</v>
      </c>
      <c r="H110" s="3">
        <f>Site_Summary[[#This Row],[Gas (kWh)]]*'Information and Variables'!$D$9</f>
        <v>50.489367160000008</v>
      </c>
      <c r="I110" s="101">
        <f>Site_Summary[[#This Row],[Gas (kWh)]]*'Information and Variables'!$D$19</f>
        <v>17937.302500000002</v>
      </c>
    </row>
    <row r="111" spans="1:9" x14ac:dyDescent="0.25">
      <c r="A111" s="7" t="s">
        <v>8</v>
      </c>
      <c r="B111" s="148" t="s">
        <v>187</v>
      </c>
      <c r="C111" s="4" t="s">
        <v>42</v>
      </c>
      <c r="D111" s="5">
        <v>311958.43</v>
      </c>
      <c r="E111" s="5">
        <f>Site_Summary[[#This Row],[Electricity (kWh)]]*'Information and Variables'!$D$8</f>
        <v>55.216642109999995</v>
      </c>
      <c r="F111" s="102">
        <f>Site_Summary[[#This Row],[Electricity (kWh)]]*'Information and Variables'!$D$18</f>
        <v>77989.607499999998</v>
      </c>
      <c r="G111" s="9">
        <v>213322.46</v>
      </c>
      <c r="H111" s="5">
        <f>Site_Summary[[#This Row],[Gas (kWh)]]*'Information and Variables'!$D$9</f>
        <v>39.029477281600002</v>
      </c>
      <c r="I111" s="102">
        <f>Site_Summary[[#This Row],[Gas (kWh)]]*'Information and Variables'!$D$19</f>
        <v>13865.9599</v>
      </c>
    </row>
    <row r="112" spans="1:9" x14ac:dyDescent="0.25">
      <c r="A112" s="6" t="s">
        <v>8</v>
      </c>
      <c r="B112" s="147" t="s">
        <v>187</v>
      </c>
      <c r="C112" s="2" t="s">
        <v>41</v>
      </c>
      <c r="D112" s="3">
        <v>192541.94</v>
      </c>
      <c r="E112" s="3">
        <f>Site_Summary[[#This Row],[Electricity (kWh)]]*'Information and Variables'!$D$8</f>
        <v>34.079923379999997</v>
      </c>
      <c r="F112" s="101">
        <f>Site_Summary[[#This Row],[Electricity (kWh)]]*'Information and Variables'!$D$18</f>
        <v>48135.485000000001</v>
      </c>
      <c r="G112" s="8">
        <v>134959.89000000001</v>
      </c>
      <c r="H112" s="3">
        <f>Site_Summary[[#This Row],[Gas (kWh)]]*'Information and Variables'!$D$9</f>
        <v>24.692261474400006</v>
      </c>
      <c r="I112" s="101">
        <f>Site_Summary[[#This Row],[Gas (kWh)]]*'Information and Variables'!$D$19</f>
        <v>8772.392850000002</v>
      </c>
    </row>
    <row r="113" spans="1:9" x14ac:dyDescent="0.25">
      <c r="A113" s="7" t="s">
        <v>8</v>
      </c>
      <c r="B113" s="148" t="s">
        <v>187</v>
      </c>
      <c r="C113" s="4" t="s">
        <v>40</v>
      </c>
      <c r="D113" s="5">
        <v>99701.15</v>
      </c>
      <c r="E113" s="5">
        <f>Site_Summary[[#This Row],[Electricity (kWh)]]*'Information and Variables'!$D$8</f>
        <v>17.647103549999997</v>
      </c>
      <c r="F113" s="102">
        <f>Site_Summary[[#This Row],[Electricity (kWh)]]*'Information and Variables'!$D$18</f>
        <v>24925.287499999999</v>
      </c>
      <c r="G113" s="9">
        <v>68768.55</v>
      </c>
      <c r="H113" s="5">
        <f>Site_Summary[[#This Row],[Gas (kWh)]]*'Information and Variables'!$D$9</f>
        <v>12.581893908000001</v>
      </c>
      <c r="I113" s="102">
        <f>Site_Summary[[#This Row],[Gas (kWh)]]*'Information and Variables'!$D$19</f>
        <v>4469.9557500000001</v>
      </c>
    </row>
    <row r="114" spans="1:9" x14ac:dyDescent="0.25">
      <c r="A114" s="6" t="s">
        <v>7</v>
      </c>
      <c r="B114" s="147" t="s">
        <v>187</v>
      </c>
      <c r="C114" s="2" t="s">
        <v>43</v>
      </c>
      <c r="D114" s="3">
        <v>494299.3</v>
      </c>
      <c r="E114" s="3">
        <f>Site_Summary[[#This Row],[Electricity (kWh)]]*'Information and Variables'!$D$8</f>
        <v>87.490976099999997</v>
      </c>
      <c r="F114" s="101">
        <f>Site_Summary[[#This Row],[Electricity (kWh)]]*'Information and Variables'!$D$18</f>
        <v>123574.825</v>
      </c>
      <c r="G114" s="8">
        <v>280897.99</v>
      </c>
      <c r="H114" s="3">
        <f>Site_Summary[[#This Row],[Gas (kWh)]]*'Information and Variables'!$D$9</f>
        <v>51.393096250400006</v>
      </c>
      <c r="I114" s="101">
        <f>Site_Summary[[#This Row],[Gas (kWh)]]*'Information and Variables'!$D$19</f>
        <v>18258.369350000001</v>
      </c>
    </row>
    <row r="115" spans="1:9" x14ac:dyDescent="0.25">
      <c r="A115" s="7" t="s">
        <v>7</v>
      </c>
      <c r="B115" s="148" t="s">
        <v>187</v>
      </c>
      <c r="C115" s="4" t="s">
        <v>42</v>
      </c>
      <c r="D115" s="5">
        <v>350367.24</v>
      </c>
      <c r="E115" s="5">
        <f>Site_Summary[[#This Row],[Electricity (kWh)]]*'Information and Variables'!$D$8</f>
        <v>62.015001479999995</v>
      </c>
      <c r="F115" s="102">
        <f>Site_Summary[[#This Row],[Electricity (kWh)]]*'Information and Variables'!$D$18</f>
        <v>87591.81</v>
      </c>
      <c r="G115" s="9">
        <v>185252.6</v>
      </c>
      <c r="H115" s="5">
        <f>Site_Summary[[#This Row],[Gas (kWh)]]*'Information and Variables'!$D$9</f>
        <v>33.893815696000004</v>
      </c>
      <c r="I115" s="102">
        <f>Site_Summary[[#This Row],[Gas (kWh)]]*'Information and Variables'!$D$19</f>
        <v>12041.419000000002</v>
      </c>
    </row>
    <row r="116" spans="1:9" x14ac:dyDescent="0.25">
      <c r="A116" s="6" t="s">
        <v>7</v>
      </c>
      <c r="B116" s="147" t="s">
        <v>187</v>
      </c>
      <c r="C116" s="2" t="s">
        <v>41</v>
      </c>
      <c r="D116" s="3">
        <v>205479.42</v>
      </c>
      <c r="E116" s="3">
        <f>Site_Summary[[#This Row],[Electricity (kWh)]]*'Information and Variables'!$D$8</f>
        <v>36.369857340000003</v>
      </c>
      <c r="F116" s="101">
        <f>Site_Summary[[#This Row],[Electricity (kWh)]]*'Information and Variables'!$D$18</f>
        <v>51369.855000000003</v>
      </c>
      <c r="G116" s="8">
        <v>137602.54999999999</v>
      </c>
      <c r="H116" s="3">
        <f>Site_Summary[[#This Row],[Gas (kWh)]]*'Information and Variables'!$D$9</f>
        <v>25.175762548000002</v>
      </c>
      <c r="I116" s="101">
        <f>Site_Summary[[#This Row],[Gas (kWh)]]*'Information and Variables'!$D$19</f>
        <v>8944.1657500000001</v>
      </c>
    </row>
    <row r="117" spans="1:9" x14ac:dyDescent="0.25">
      <c r="A117" s="7" t="s">
        <v>7</v>
      </c>
      <c r="B117" s="148" t="s">
        <v>187</v>
      </c>
      <c r="C117" s="4" t="s">
        <v>40</v>
      </c>
      <c r="D117" s="5">
        <v>113554.69</v>
      </c>
      <c r="E117" s="5">
        <f>Site_Summary[[#This Row],[Electricity (kWh)]]*'Information and Variables'!$D$8</f>
        <v>20.099180130000001</v>
      </c>
      <c r="F117" s="102">
        <f>Site_Summary[[#This Row],[Electricity (kWh)]]*'Information and Variables'!$D$18</f>
        <v>28388.672500000001</v>
      </c>
      <c r="G117" s="9">
        <v>64572.77</v>
      </c>
      <c r="H117" s="5">
        <f>Site_Summary[[#This Row],[Gas (kWh)]]*'Information and Variables'!$D$9</f>
        <v>11.814233999200001</v>
      </c>
      <c r="I117" s="102">
        <f>Site_Summary[[#This Row],[Gas (kWh)]]*'Information and Variables'!$D$19</f>
        <v>4197.2300500000001</v>
      </c>
    </row>
    <row r="118" spans="1:9" x14ac:dyDescent="0.25">
      <c r="A118" s="6" t="s">
        <v>6</v>
      </c>
      <c r="B118" s="147" t="s">
        <v>187</v>
      </c>
      <c r="C118" s="2" t="s">
        <v>43</v>
      </c>
      <c r="D118" s="3">
        <v>443484.51</v>
      </c>
      <c r="E118" s="3">
        <f>Site_Summary[[#This Row],[Electricity (kWh)]]*'Information and Variables'!$D$8</f>
        <v>78.496758270000001</v>
      </c>
      <c r="F118" s="101">
        <f>Site_Summary[[#This Row],[Electricity (kWh)]]*'Information and Variables'!$D$18</f>
        <v>110871.1275</v>
      </c>
      <c r="G118" s="8">
        <v>364565.35</v>
      </c>
      <c r="H118" s="3">
        <f>Site_Summary[[#This Row],[Gas (kWh)]]*'Information and Variables'!$D$9</f>
        <v>66.700876436000001</v>
      </c>
      <c r="I118" s="101">
        <f>Site_Summary[[#This Row],[Gas (kWh)]]*'Information and Variables'!$D$19</f>
        <v>23696.747749999999</v>
      </c>
    </row>
    <row r="119" spans="1:9" x14ac:dyDescent="0.25">
      <c r="A119" s="7" t="s">
        <v>6</v>
      </c>
      <c r="B119" s="148" t="s">
        <v>187</v>
      </c>
      <c r="C119" s="4" t="s">
        <v>42</v>
      </c>
      <c r="D119" s="5">
        <v>320528.89</v>
      </c>
      <c r="E119" s="5">
        <f>Site_Summary[[#This Row],[Electricity (kWh)]]*'Information and Variables'!$D$8</f>
        <v>56.73361353</v>
      </c>
      <c r="F119" s="102">
        <f>Site_Summary[[#This Row],[Electricity (kWh)]]*'Information and Variables'!$D$18</f>
        <v>80132.222500000003</v>
      </c>
      <c r="G119" s="9">
        <v>233958.32</v>
      </c>
      <c r="H119" s="5">
        <f>Site_Summary[[#This Row],[Gas (kWh)]]*'Information and Variables'!$D$9</f>
        <v>42.805014227200004</v>
      </c>
      <c r="I119" s="102">
        <f>Site_Summary[[#This Row],[Gas (kWh)]]*'Information and Variables'!$D$19</f>
        <v>15207.290800000001</v>
      </c>
    </row>
    <row r="120" spans="1:9" x14ac:dyDescent="0.25">
      <c r="A120" s="6" t="s">
        <v>6</v>
      </c>
      <c r="B120" s="147" t="s">
        <v>187</v>
      </c>
      <c r="C120" s="2" t="s">
        <v>41</v>
      </c>
      <c r="D120" s="3">
        <v>205797.83</v>
      </c>
      <c r="E120" s="3">
        <f>Site_Summary[[#This Row],[Electricity (kWh)]]*'Information and Variables'!$D$8</f>
        <v>36.426215909999996</v>
      </c>
      <c r="F120" s="101">
        <f>Site_Summary[[#This Row],[Electricity (kWh)]]*'Information and Variables'!$D$18</f>
        <v>51449.457499999997</v>
      </c>
      <c r="G120" s="8">
        <v>162970.43</v>
      </c>
      <c r="H120" s="3">
        <f>Site_Summary[[#This Row],[Gas (kWh)]]*'Information and Variables'!$D$9</f>
        <v>29.817069872800001</v>
      </c>
      <c r="I120" s="101">
        <f>Site_Summary[[#This Row],[Gas (kWh)]]*'Information and Variables'!$D$19</f>
        <v>10593.077950000001</v>
      </c>
    </row>
    <row r="121" spans="1:9" x14ac:dyDescent="0.25">
      <c r="A121" s="7" t="s">
        <v>6</v>
      </c>
      <c r="B121" s="148" t="s">
        <v>187</v>
      </c>
      <c r="C121" s="4" t="s">
        <v>40</v>
      </c>
      <c r="D121" s="5">
        <v>110385</v>
      </c>
      <c r="E121" s="5">
        <f>Site_Summary[[#This Row],[Electricity (kWh)]]*'Information and Variables'!$D$8</f>
        <v>19.538145</v>
      </c>
      <c r="F121" s="102">
        <f>Site_Summary[[#This Row],[Electricity (kWh)]]*'Information and Variables'!$D$18</f>
        <v>27596.25</v>
      </c>
      <c r="G121" s="9">
        <v>78482.78</v>
      </c>
      <c r="H121" s="5">
        <f>Site_Summary[[#This Row],[Gas (kWh)]]*'Information and Variables'!$D$9</f>
        <v>14.359209428800002</v>
      </c>
      <c r="I121" s="102">
        <f>Site_Summary[[#This Row],[Gas (kWh)]]*'Information and Variables'!$D$19</f>
        <v>5101.3806999999997</v>
      </c>
    </row>
    <row r="122" spans="1:9" x14ac:dyDescent="0.25">
      <c r="A122" s="6" t="s">
        <v>5</v>
      </c>
      <c r="B122" s="147" t="s">
        <v>187</v>
      </c>
      <c r="C122" s="2" t="s">
        <v>43</v>
      </c>
      <c r="D122" s="3">
        <v>430497.01</v>
      </c>
      <c r="E122" s="3">
        <f>Site_Summary[[#This Row],[Electricity (kWh)]]*'Information and Variables'!$D$8</f>
        <v>76.197970769999998</v>
      </c>
      <c r="F122" s="101">
        <f>Site_Summary[[#This Row],[Electricity (kWh)]]*'Information and Variables'!$D$18</f>
        <v>107624.2525</v>
      </c>
      <c r="G122" s="8">
        <v>613321.85</v>
      </c>
      <c r="H122" s="3">
        <f>Site_Summary[[#This Row],[Gas (kWh)]]*'Information and Variables'!$D$9</f>
        <v>112.21336567600001</v>
      </c>
      <c r="I122" s="101">
        <f>Site_Summary[[#This Row],[Gas (kWh)]]*'Information and Variables'!$D$19</f>
        <v>39865.920250000003</v>
      </c>
    </row>
    <row r="123" spans="1:9" x14ac:dyDescent="0.25">
      <c r="A123" s="7" t="s">
        <v>5</v>
      </c>
      <c r="B123" s="148" t="s">
        <v>187</v>
      </c>
      <c r="C123" s="4" t="s">
        <v>42</v>
      </c>
      <c r="D123" s="5">
        <v>306904.81</v>
      </c>
      <c r="E123" s="5">
        <f>Site_Summary[[#This Row],[Electricity (kWh)]]*'Information and Variables'!$D$8</f>
        <v>54.32215137</v>
      </c>
      <c r="F123" s="102">
        <f>Site_Summary[[#This Row],[Electricity (kWh)]]*'Information and Variables'!$D$18</f>
        <v>76726.202499999999</v>
      </c>
      <c r="G123" s="9">
        <v>353749.42</v>
      </c>
      <c r="H123" s="5">
        <f>Site_Summary[[#This Row],[Gas (kWh)]]*'Information and Variables'!$D$9</f>
        <v>64.7219938832</v>
      </c>
      <c r="I123" s="102">
        <f>Site_Summary[[#This Row],[Gas (kWh)]]*'Information and Variables'!$D$19</f>
        <v>22993.712299999999</v>
      </c>
    </row>
    <row r="124" spans="1:9" x14ac:dyDescent="0.25">
      <c r="A124" s="6" t="s">
        <v>5</v>
      </c>
      <c r="B124" s="147" t="s">
        <v>187</v>
      </c>
      <c r="C124" s="2" t="s">
        <v>41</v>
      </c>
      <c r="D124" s="3">
        <v>183295.71</v>
      </c>
      <c r="E124" s="3">
        <f>Site_Summary[[#This Row],[Electricity (kWh)]]*'Information and Variables'!$D$8</f>
        <v>32.443340669999998</v>
      </c>
      <c r="F124" s="101">
        <f>Site_Summary[[#This Row],[Electricity (kWh)]]*'Information and Variables'!$D$18</f>
        <v>45823.927499999998</v>
      </c>
      <c r="G124" s="8">
        <v>250432.65</v>
      </c>
      <c r="H124" s="3">
        <f>Site_Summary[[#This Row],[Gas (kWh)]]*'Information and Variables'!$D$9</f>
        <v>45.819157644000008</v>
      </c>
      <c r="I124" s="101">
        <f>Site_Summary[[#This Row],[Gas (kWh)]]*'Information and Variables'!$D$19</f>
        <v>16278.12225</v>
      </c>
    </row>
    <row r="125" spans="1:9" x14ac:dyDescent="0.25">
      <c r="A125" s="7" t="s">
        <v>5</v>
      </c>
      <c r="B125" s="148" t="s">
        <v>187</v>
      </c>
      <c r="C125" s="4" t="s">
        <v>40</v>
      </c>
      <c r="D125" s="5">
        <v>98076.94</v>
      </c>
      <c r="E125" s="5">
        <f>Site_Summary[[#This Row],[Electricity (kWh)]]*'Information and Variables'!$D$8</f>
        <v>17.359618380000001</v>
      </c>
      <c r="F125" s="102">
        <f>Site_Summary[[#This Row],[Electricity (kWh)]]*'Information and Variables'!$D$18</f>
        <v>24519.235000000001</v>
      </c>
      <c r="G125" s="9">
        <v>137786.60999999999</v>
      </c>
      <c r="H125" s="5">
        <f>Site_Summary[[#This Row],[Gas (kWh)]]*'Information and Variables'!$D$9</f>
        <v>25.209438165600002</v>
      </c>
      <c r="I125" s="102">
        <f>Site_Summary[[#This Row],[Gas (kWh)]]*'Information and Variables'!$D$19</f>
        <v>8956.1296499999989</v>
      </c>
    </row>
    <row r="126" spans="1:9" x14ac:dyDescent="0.25">
      <c r="A126" s="6" t="s">
        <v>4</v>
      </c>
      <c r="B126" s="147" t="s">
        <v>187</v>
      </c>
      <c r="C126" s="2" t="s">
        <v>43</v>
      </c>
      <c r="D126" s="3">
        <v>424340.13</v>
      </c>
      <c r="E126" s="3">
        <f>Site_Summary[[#This Row],[Electricity (kWh)]]*'Information and Variables'!$D$8</f>
        <v>75.108203009999997</v>
      </c>
      <c r="F126" s="101">
        <f>Site_Summary[[#This Row],[Electricity (kWh)]]*'Information and Variables'!$D$18</f>
        <v>106085.0325</v>
      </c>
      <c r="G126" s="8">
        <v>952028.28</v>
      </c>
      <c r="H126" s="3">
        <f>Site_Summary[[#This Row],[Gas (kWh)]]*'Information and Variables'!$D$9</f>
        <v>174.18309410880002</v>
      </c>
      <c r="I126" s="101">
        <f>Site_Summary[[#This Row],[Gas (kWh)]]*'Information and Variables'!$D$19</f>
        <v>61881.838200000006</v>
      </c>
    </row>
    <row r="127" spans="1:9" x14ac:dyDescent="0.25">
      <c r="A127" s="7" t="s">
        <v>4</v>
      </c>
      <c r="B127" s="148" t="s">
        <v>187</v>
      </c>
      <c r="C127" s="4" t="s">
        <v>42</v>
      </c>
      <c r="D127" s="5">
        <v>327732.95</v>
      </c>
      <c r="E127" s="5">
        <f>Site_Summary[[#This Row],[Electricity (kWh)]]*'Information and Variables'!$D$8</f>
        <v>58.00873215</v>
      </c>
      <c r="F127" s="102">
        <f>Site_Summary[[#This Row],[Electricity (kWh)]]*'Information and Variables'!$D$18</f>
        <v>81933.237500000003</v>
      </c>
      <c r="G127" s="9">
        <v>585102.13</v>
      </c>
      <c r="H127" s="5">
        <f>Site_Summary[[#This Row],[Gas (kWh)]]*'Information and Variables'!$D$9</f>
        <v>107.05028570480002</v>
      </c>
      <c r="I127" s="102">
        <f>Site_Summary[[#This Row],[Gas (kWh)]]*'Information and Variables'!$D$19</f>
        <v>38031.638449999999</v>
      </c>
    </row>
    <row r="128" spans="1:9" x14ac:dyDescent="0.25">
      <c r="A128" s="6" t="s">
        <v>4</v>
      </c>
      <c r="B128" s="147" t="s">
        <v>187</v>
      </c>
      <c r="C128" s="2" t="s">
        <v>41</v>
      </c>
      <c r="D128" s="3">
        <v>190139.96</v>
      </c>
      <c r="E128" s="3">
        <f>Site_Summary[[#This Row],[Electricity (kWh)]]*'Information and Variables'!$D$8</f>
        <v>33.654772919999999</v>
      </c>
      <c r="F128" s="101">
        <f>Site_Summary[[#This Row],[Electricity (kWh)]]*'Information and Variables'!$D$18</f>
        <v>47534.99</v>
      </c>
      <c r="G128" s="8">
        <v>366100.84</v>
      </c>
      <c r="H128" s="3">
        <f>Site_Summary[[#This Row],[Gas (kWh)]]*'Information and Variables'!$D$9</f>
        <v>66.981809686400013</v>
      </c>
      <c r="I128" s="101">
        <f>Site_Summary[[#This Row],[Gas (kWh)]]*'Information and Variables'!$D$19</f>
        <v>23796.554600000003</v>
      </c>
    </row>
    <row r="129" spans="1:9" x14ac:dyDescent="0.25">
      <c r="A129" s="7" t="s">
        <v>4</v>
      </c>
      <c r="B129" s="148" t="s">
        <v>187</v>
      </c>
      <c r="C129" s="4" t="s">
        <v>40</v>
      </c>
      <c r="D129" s="5">
        <v>108612.61</v>
      </c>
      <c r="E129" s="5">
        <f>Site_Summary[[#This Row],[Electricity (kWh)]]*'Information and Variables'!$D$8</f>
        <v>19.224431969999998</v>
      </c>
      <c r="F129" s="102">
        <f>Site_Summary[[#This Row],[Electricity (kWh)]]*'Information and Variables'!$D$18</f>
        <v>27153.1525</v>
      </c>
      <c r="G129" s="9">
        <v>211037.32</v>
      </c>
      <c r="H129" s="5">
        <f>Site_Summary[[#This Row],[Gas (kWh)]]*'Information and Variables'!$D$9</f>
        <v>38.611388067200004</v>
      </c>
      <c r="I129" s="102">
        <f>Site_Summary[[#This Row],[Gas (kWh)]]*'Information and Variables'!$D$19</f>
        <v>13717.425800000001</v>
      </c>
    </row>
    <row r="130" spans="1:9" x14ac:dyDescent="0.25">
      <c r="A130" s="6" t="s">
        <v>3</v>
      </c>
      <c r="B130" s="147" t="s">
        <v>187</v>
      </c>
      <c r="C130" s="2" t="s">
        <v>43</v>
      </c>
      <c r="D130" s="3">
        <v>489058.97</v>
      </c>
      <c r="E130" s="3">
        <f>Site_Summary[[#This Row],[Electricity (kWh)]]*'Information and Variables'!$D$8</f>
        <v>86.563437689999986</v>
      </c>
      <c r="F130" s="101">
        <f>Site_Summary[[#This Row],[Electricity (kWh)]]*'Information and Variables'!$D$18</f>
        <v>122264.74249999999</v>
      </c>
      <c r="G130" s="8">
        <v>1222909.3500000001</v>
      </c>
      <c r="H130" s="3">
        <f>Site_Summary[[#This Row],[Gas (kWh)]]*'Information and Variables'!$D$9</f>
        <v>223.74349467600004</v>
      </c>
      <c r="I130" s="101">
        <f>Site_Summary[[#This Row],[Gas (kWh)]]*'Information and Variables'!$D$19</f>
        <v>79489.10775000001</v>
      </c>
    </row>
    <row r="131" spans="1:9" x14ac:dyDescent="0.25">
      <c r="A131" s="7" t="s">
        <v>3</v>
      </c>
      <c r="B131" s="148" t="s">
        <v>187</v>
      </c>
      <c r="C131" s="4" t="s">
        <v>42</v>
      </c>
      <c r="D131" s="5">
        <v>291936.74</v>
      </c>
      <c r="E131" s="5">
        <f>Site_Summary[[#This Row],[Electricity (kWh)]]*'Information and Variables'!$D$8</f>
        <v>51.672802979999993</v>
      </c>
      <c r="F131" s="102">
        <f>Site_Summary[[#This Row],[Electricity (kWh)]]*'Information and Variables'!$D$18</f>
        <v>72984.184999999998</v>
      </c>
      <c r="G131" s="9">
        <v>838349.67</v>
      </c>
      <c r="H131" s="5">
        <f>Site_Summary[[#This Row],[Gas (kWh)]]*'Information and Variables'!$D$9</f>
        <v>153.38445562320004</v>
      </c>
      <c r="I131" s="102">
        <f>Site_Summary[[#This Row],[Gas (kWh)]]*'Information and Variables'!$D$19</f>
        <v>54492.728550000007</v>
      </c>
    </row>
    <row r="132" spans="1:9" x14ac:dyDescent="0.25">
      <c r="A132" s="6" t="s">
        <v>3</v>
      </c>
      <c r="B132" s="147" t="s">
        <v>187</v>
      </c>
      <c r="C132" s="2" t="s">
        <v>41</v>
      </c>
      <c r="D132" s="3">
        <v>218382.76</v>
      </c>
      <c r="E132" s="3">
        <f>Site_Summary[[#This Row],[Electricity (kWh)]]*'Information and Variables'!$D$8</f>
        <v>38.653748520000001</v>
      </c>
      <c r="F132" s="101">
        <f>Site_Summary[[#This Row],[Electricity (kWh)]]*'Information and Variables'!$D$18</f>
        <v>54595.69</v>
      </c>
      <c r="G132" s="8">
        <v>566411.61</v>
      </c>
      <c r="H132" s="3">
        <f>Site_Summary[[#This Row],[Gas (kWh)]]*'Information and Variables'!$D$9</f>
        <v>103.63066816560001</v>
      </c>
      <c r="I132" s="101">
        <f>Site_Summary[[#This Row],[Gas (kWh)]]*'Information and Variables'!$D$19</f>
        <v>36816.754650000003</v>
      </c>
    </row>
    <row r="133" spans="1:9" x14ac:dyDescent="0.25">
      <c r="A133" s="7" t="s">
        <v>3</v>
      </c>
      <c r="B133" s="148" t="s">
        <v>187</v>
      </c>
      <c r="C133" s="4" t="s">
        <v>40</v>
      </c>
      <c r="D133" s="5">
        <v>112608.71</v>
      </c>
      <c r="E133" s="5">
        <f>Site_Summary[[#This Row],[Electricity (kWh)]]*'Information and Variables'!$D$8</f>
        <v>19.931741670000001</v>
      </c>
      <c r="F133" s="102">
        <f>Site_Summary[[#This Row],[Electricity (kWh)]]*'Information and Variables'!$D$18</f>
        <v>28152.177500000002</v>
      </c>
      <c r="G133" s="9">
        <v>337408.73</v>
      </c>
      <c r="H133" s="5">
        <f>Site_Summary[[#This Row],[Gas (kWh)]]*'Information and Variables'!$D$9</f>
        <v>61.732301240800005</v>
      </c>
      <c r="I133" s="102">
        <f>Site_Summary[[#This Row],[Gas (kWh)]]*'Information and Variables'!$D$19</f>
        <v>21931.567449999999</v>
      </c>
    </row>
    <row r="134" spans="1:9" x14ac:dyDescent="0.25">
      <c r="A134" s="6" t="s">
        <v>2</v>
      </c>
      <c r="B134" s="147" t="s">
        <v>187</v>
      </c>
      <c r="C134" s="2" t="s">
        <v>43</v>
      </c>
      <c r="D134" s="3">
        <v>417936.97</v>
      </c>
      <c r="E134" s="3">
        <f>Site_Summary[[#This Row],[Electricity (kWh)]]*'Information and Variables'!$D$8</f>
        <v>73.974843689999986</v>
      </c>
      <c r="F134" s="101">
        <f>Site_Summary[[#This Row],[Electricity (kWh)]]*'Information and Variables'!$D$18</f>
        <v>104484.24249999999</v>
      </c>
      <c r="G134" s="8">
        <v>1537140.48</v>
      </c>
      <c r="H134" s="3">
        <f>Site_Summary[[#This Row],[Gas (kWh)]]*'Information and Variables'!$D$9</f>
        <v>281.23522222080004</v>
      </c>
      <c r="I134" s="101">
        <f>Site_Summary[[#This Row],[Gas (kWh)]]*'Information and Variables'!$D$19</f>
        <v>99914.131200000003</v>
      </c>
    </row>
    <row r="135" spans="1:9" x14ac:dyDescent="0.25">
      <c r="A135" s="7" t="s">
        <v>2</v>
      </c>
      <c r="B135" s="148" t="s">
        <v>187</v>
      </c>
      <c r="C135" s="4" t="s">
        <v>42</v>
      </c>
      <c r="D135" s="5">
        <v>346891.98</v>
      </c>
      <c r="E135" s="5">
        <f>Site_Summary[[#This Row],[Electricity (kWh)]]*'Information and Variables'!$D$8</f>
        <v>61.399880459999991</v>
      </c>
      <c r="F135" s="102">
        <f>Site_Summary[[#This Row],[Electricity (kWh)]]*'Information and Variables'!$D$18</f>
        <v>86722.994999999995</v>
      </c>
      <c r="G135" s="9">
        <v>923880.9</v>
      </c>
      <c r="H135" s="5">
        <f>Site_Summary[[#This Row],[Gas (kWh)]]*'Information and Variables'!$D$9</f>
        <v>169.03324946400002</v>
      </c>
      <c r="I135" s="102">
        <f>Site_Summary[[#This Row],[Gas (kWh)]]*'Information and Variables'!$D$19</f>
        <v>60052.258500000004</v>
      </c>
    </row>
    <row r="136" spans="1:9" x14ac:dyDescent="0.25">
      <c r="A136" s="6" t="s">
        <v>2</v>
      </c>
      <c r="B136" s="147" t="s">
        <v>187</v>
      </c>
      <c r="C136" s="2" t="s">
        <v>41</v>
      </c>
      <c r="D136" s="3">
        <v>215152.15</v>
      </c>
      <c r="E136" s="3">
        <f>Site_Summary[[#This Row],[Electricity (kWh)]]*'Information and Variables'!$D$8</f>
        <v>38.081930549999996</v>
      </c>
      <c r="F136" s="101">
        <f>Site_Summary[[#This Row],[Electricity (kWh)]]*'Information and Variables'!$D$18</f>
        <v>53788.037499999999</v>
      </c>
      <c r="G136" s="8">
        <v>659962.86</v>
      </c>
      <c r="H136" s="3">
        <f>Site_Summary[[#This Row],[Gas (kWh)]]*'Information and Variables'!$D$9</f>
        <v>120.74680486560001</v>
      </c>
      <c r="I136" s="101">
        <f>Site_Summary[[#This Row],[Gas (kWh)]]*'Information and Variables'!$D$19</f>
        <v>42897.585899999998</v>
      </c>
    </row>
    <row r="137" spans="1:9" x14ac:dyDescent="0.25">
      <c r="A137" s="7" t="s">
        <v>2</v>
      </c>
      <c r="B137" s="148" t="s">
        <v>187</v>
      </c>
      <c r="C137" s="4" t="s">
        <v>40</v>
      </c>
      <c r="D137" s="5">
        <v>108088.26</v>
      </c>
      <c r="E137" s="5">
        <f>Site_Summary[[#This Row],[Electricity (kWh)]]*'Information and Variables'!$D$8</f>
        <v>19.131622019999998</v>
      </c>
      <c r="F137" s="102">
        <f>Site_Summary[[#This Row],[Electricity (kWh)]]*'Information and Variables'!$D$18</f>
        <v>27022.064999999999</v>
      </c>
      <c r="G137" s="9">
        <v>330198.76</v>
      </c>
      <c r="H137" s="5">
        <f>Site_Summary[[#This Row],[Gas (kWh)]]*'Information and Variables'!$D$9</f>
        <v>60.41316512960001</v>
      </c>
      <c r="I137" s="102">
        <f>Site_Summary[[#This Row],[Gas (kWh)]]*'Information and Variables'!$D$19</f>
        <v>21462.919400000002</v>
      </c>
    </row>
    <row r="138" spans="1:9" x14ac:dyDescent="0.25">
      <c r="A138" s="6" t="s">
        <v>1</v>
      </c>
      <c r="B138" s="147" t="s">
        <v>187</v>
      </c>
      <c r="C138" s="2" t="s">
        <v>43</v>
      </c>
      <c r="D138" s="3">
        <v>482993.56</v>
      </c>
      <c r="E138" s="3">
        <f>Site_Summary[[#This Row],[Electricity (kWh)]]*'Information and Variables'!$D$8</f>
        <v>85.489860120000003</v>
      </c>
      <c r="F138" s="101">
        <f>Site_Summary[[#This Row],[Electricity (kWh)]]*'Information and Variables'!$D$18</f>
        <v>120748.39</v>
      </c>
      <c r="G138" s="8">
        <v>1134104.54</v>
      </c>
      <c r="H138" s="3">
        <f>Site_Summary[[#This Row],[Gas (kWh)]]*'Information and Variables'!$D$9</f>
        <v>207.49576663840003</v>
      </c>
      <c r="I138" s="101">
        <f>Site_Summary[[#This Row],[Gas (kWh)]]*'Information and Variables'!$D$19</f>
        <v>73716.795100000003</v>
      </c>
    </row>
    <row r="139" spans="1:9" x14ac:dyDescent="0.25">
      <c r="A139" s="7" t="s">
        <v>1</v>
      </c>
      <c r="B139" s="148" t="s">
        <v>187</v>
      </c>
      <c r="C139" s="4" t="s">
        <v>42</v>
      </c>
      <c r="D139" s="5">
        <v>297928.55</v>
      </c>
      <c r="E139" s="5">
        <f>Site_Summary[[#This Row],[Electricity (kWh)]]*'Information and Variables'!$D$8</f>
        <v>52.733353349999994</v>
      </c>
      <c r="F139" s="102">
        <f>Site_Summary[[#This Row],[Electricity (kWh)]]*'Information and Variables'!$D$18</f>
        <v>74482.137499999997</v>
      </c>
      <c r="G139" s="9">
        <v>729444.02</v>
      </c>
      <c r="H139" s="5">
        <f>Site_Summary[[#This Row],[Gas (kWh)]]*'Information and Variables'!$D$9</f>
        <v>133.45907789920003</v>
      </c>
      <c r="I139" s="102">
        <f>Site_Summary[[#This Row],[Gas (kWh)]]*'Information and Variables'!$D$19</f>
        <v>47413.861300000004</v>
      </c>
    </row>
    <row r="140" spans="1:9" x14ac:dyDescent="0.25">
      <c r="A140" s="6" t="s">
        <v>1</v>
      </c>
      <c r="B140" s="147" t="s">
        <v>187</v>
      </c>
      <c r="C140" s="2" t="s">
        <v>41</v>
      </c>
      <c r="D140" s="3">
        <v>211272.29</v>
      </c>
      <c r="E140" s="3">
        <f>Site_Summary[[#This Row],[Electricity (kWh)]]*'Information and Variables'!$D$8</f>
        <v>37.39519533</v>
      </c>
      <c r="F140" s="101">
        <f>Site_Summary[[#This Row],[Electricity (kWh)]]*'Information and Variables'!$D$18</f>
        <v>52818.072500000002</v>
      </c>
      <c r="G140" s="8">
        <v>482576.32</v>
      </c>
      <c r="H140" s="3">
        <f>Site_Summary[[#This Row],[Gas (kWh)]]*'Information and Variables'!$D$9</f>
        <v>88.292163507200016</v>
      </c>
      <c r="I140" s="101">
        <f>Site_Summary[[#This Row],[Gas (kWh)]]*'Information and Variables'!$D$19</f>
        <v>31367.460800000001</v>
      </c>
    </row>
    <row r="141" spans="1:9" x14ac:dyDescent="0.25">
      <c r="A141" s="7" t="s">
        <v>1</v>
      </c>
      <c r="B141" s="148" t="s">
        <v>187</v>
      </c>
      <c r="C141" s="4" t="s">
        <v>40</v>
      </c>
      <c r="D141" s="5">
        <v>114097.53</v>
      </c>
      <c r="E141" s="5">
        <f>Site_Summary[[#This Row],[Electricity (kWh)]]*'Information and Variables'!$D$8</f>
        <v>20.195262809999999</v>
      </c>
      <c r="F141" s="102">
        <f>Site_Summary[[#This Row],[Electricity (kWh)]]*'Information and Variables'!$D$18</f>
        <v>28524.3825</v>
      </c>
      <c r="G141" s="9">
        <v>244972.6</v>
      </c>
      <c r="H141" s="5">
        <f>Site_Summary[[#This Row],[Gas (kWh)]]*'Information and Variables'!$D$9</f>
        <v>44.82018689600001</v>
      </c>
      <c r="I141" s="102">
        <f>Site_Summary[[#This Row],[Gas (kWh)]]*'Information and Variables'!$D$19</f>
        <v>15923.219000000001</v>
      </c>
    </row>
    <row r="142" spans="1:9" x14ac:dyDescent="0.25">
      <c r="A142" s="6" t="s">
        <v>0</v>
      </c>
      <c r="B142" s="147" t="s">
        <v>187</v>
      </c>
      <c r="C142" s="2" t="s">
        <v>43</v>
      </c>
      <c r="D142" s="3">
        <v>488968.58</v>
      </c>
      <c r="E142" s="3">
        <f>Site_Summary[[#This Row],[Electricity (kWh)]]*'Information and Variables'!$D$8</f>
        <v>86.547438659999997</v>
      </c>
      <c r="F142" s="101">
        <f>Site_Summary[[#This Row],[Electricity (kWh)]]*'Information and Variables'!$D$18</f>
        <v>122242.145</v>
      </c>
      <c r="G142" s="8">
        <v>595230.94999999995</v>
      </c>
      <c r="H142" s="3">
        <f>Site_Summary[[#This Row],[Gas (kWh)]]*'Information and Variables'!$D$9</f>
        <v>108.903454612</v>
      </c>
      <c r="I142" s="101">
        <f>Site_Summary[[#This Row],[Gas (kWh)]]*'Information and Variables'!$D$19</f>
        <v>38690.011749999998</v>
      </c>
    </row>
    <row r="143" spans="1:9" x14ac:dyDescent="0.25">
      <c r="A143" s="7" t="s">
        <v>0</v>
      </c>
      <c r="B143" s="148" t="s">
        <v>187</v>
      </c>
      <c r="C143" s="4" t="s">
        <v>42</v>
      </c>
      <c r="D143" s="5">
        <v>351855.51</v>
      </c>
      <c r="E143" s="5">
        <f>Site_Summary[[#This Row],[Electricity (kWh)]]*'Information and Variables'!$D$8</f>
        <v>62.27842527</v>
      </c>
      <c r="F143" s="102">
        <f>Site_Summary[[#This Row],[Electricity (kWh)]]*'Information and Variables'!$D$18</f>
        <v>87963.877500000002</v>
      </c>
      <c r="G143" s="9">
        <v>415965.12</v>
      </c>
      <c r="H143" s="5">
        <f>Site_Summary[[#This Row],[Gas (kWh)]]*'Information and Variables'!$D$9</f>
        <v>76.104978355200004</v>
      </c>
      <c r="I143" s="102">
        <f>Site_Summary[[#This Row],[Gas (kWh)]]*'Information and Variables'!$D$19</f>
        <v>27037.732800000002</v>
      </c>
    </row>
    <row r="144" spans="1:9" x14ac:dyDescent="0.25">
      <c r="A144" s="6" t="s">
        <v>0</v>
      </c>
      <c r="B144" s="147" t="s">
        <v>187</v>
      </c>
      <c r="C144" s="2" t="s">
        <v>41</v>
      </c>
      <c r="D144" s="3">
        <v>202577.4</v>
      </c>
      <c r="E144" s="3">
        <f>Site_Summary[[#This Row],[Electricity (kWh)]]*'Information and Variables'!$D$8</f>
        <v>35.856199799999999</v>
      </c>
      <c r="F144" s="101">
        <f>Site_Summary[[#This Row],[Electricity (kWh)]]*'Information and Variables'!$D$18</f>
        <v>50644.35</v>
      </c>
      <c r="G144" s="8">
        <v>288960.09999999998</v>
      </c>
      <c r="H144" s="3">
        <f>Site_Summary[[#This Row],[Gas (kWh)]]*'Information and Variables'!$D$9</f>
        <v>52.868139896000002</v>
      </c>
      <c r="I144" s="101">
        <f>Site_Summary[[#This Row],[Gas (kWh)]]*'Information and Variables'!$D$19</f>
        <v>18782.406499999997</v>
      </c>
    </row>
    <row r="145" spans="1:9" x14ac:dyDescent="0.25">
      <c r="A145" s="7" t="s">
        <v>0</v>
      </c>
      <c r="B145" s="148" t="s">
        <v>187</v>
      </c>
      <c r="C145" s="4" t="s">
        <v>40</v>
      </c>
      <c r="D145" s="5">
        <v>106422.02</v>
      </c>
      <c r="E145" s="5">
        <f>Site_Summary[[#This Row],[Electricity (kWh)]]*'Information and Variables'!$D$8</f>
        <v>18.836697539999999</v>
      </c>
      <c r="F145" s="102">
        <f>Site_Summary[[#This Row],[Electricity (kWh)]]*'Information and Variables'!$D$18</f>
        <v>26605.505000000001</v>
      </c>
      <c r="G145" s="9">
        <v>141056.69</v>
      </c>
      <c r="H145" s="5">
        <f>Site_Summary[[#This Row],[Gas (kWh)]]*'Information and Variables'!$D$9</f>
        <v>25.807732002400005</v>
      </c>
      <c r="I145" s="102">
        <f>Site_Summary[[#This Row],[Gas (kWh)]]*'Information and Variables'!$D$19</f>
        <v>9168.6848499999996</v>
      </c>
    </row>
  </sheetData>
  <phoneticPr fontId="5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A78E-17CF-4574-BDEE-A0FA4919C9C1}">
  <dimension ref="A1:C43"/>
  <sheetViews>
    <sheetView workbookViewId="0">
      <selection activeCell="F18" sqref="F18"/>
    </sheetView>
  </sheetViews>
  <sheetFormatPr defaultRowHeight="15" x14ac:dyDescent="0.25"/>
  <cols>
    <col min="1" max="1" width="16.140625" customWidth="1"/>
    <col min="2" max="2" width="11.42578125" customWidth="1"/>
    <col min="3" max="3" width="14.28515625" customWidth="1"/>
  </cols>
  <sheetData>
    <row r="1" spans="1:3" x14ac:dyDescent="0.25">
      <c r="A1" t="s">
        <v>183</v>
      </c>
      <c r="B1" t="s">
        <v>182</v>
      </c>
    </row>
    <row r="2" spans="1:3" x14ac:dyDescent="0.25">
      <c r="A2" t="s">
        <v>181</v>
      </c>
      <c r="B2" t="s">
        <v>180</v>
      </c>
    </row>
    <row r="3" spans="1:3" x14ac:dyDescent="0.25">
      <c r="A3" t="s">
        <v>179</v>
      </c>
      <c r="B3" t="s">
        <v>178</v>
      </c>
    </row>
    <row r="4" spans="1:3" x14ac:dyDescent="0.25">
      <c r="A4" t="s">
        <v>177</v>
      </c>
      <c r="B4" t="s">
        <v>176</v>
      </c>
    </row>
    <row r="5" spans="1:3" x14ac:dyDescent="0.25">
      <c r="A5" t="s">
        <v>175</v>
      </c>
      <c r="B5" t="s">
        <v>174</v>
      </c>
    </row>
    <row r="7" spans="1:3" x14ac:dyDescent="0.25">
      <c r="A7" t="s">
        <v>173</v>
      </c>
      <c r="B7" t="s">
        <v>172</v>
      </c>
      <c r="C7" t="s">
        <v>171</v>
      </c>
    </row>
    <row r="8" spans="1:3" x14ac:dyDescent="0.25">
      <c r="A8" s="103">
        <v>45017</v>
      </c>
      <c r="B8">
        <v>210.2</v>
      </c>
      <c r="C8">
        <v>0</v>
      </c>
    </row>
    <row r="9" spans="1:3" x14ac:dyDescent="0.25">
      <c r="A9" s="103">
        <v>45047</v>
      </c>
      <c r="B9">
        <v>122.2</v>
      </c>
      <c r="C9">
        <v>0</v>
      </c>
    </row>
    <row r="10" spans="1:3" x14ac:dyDescent="0.25">
      <c r="A10" s="103">
        <v>45078</v>
      </c>
      <c r="B10">
        <v>50.7</v>
      </c>
      <c r="C10">
        <v>0.1</v>
      </c>
    </row>
    <row r="11" spans="1:3" x14ac:dyDescent="0.25">
      <c r="A11" s="103">
        <v>45108</v>
      </c>
      <c r="B11">
        <v>34</v>
      </c>
      <c r="C11">
        <v>0</v>
      </c>
    </row>
    <row r="12" spans="1:3" x14ac:dyDescent="0.25">
      <c r="A12" s="103">
        <v>45139</v>
      </c>
      <c r="B12">
        <v>38.4</v>
      </c>
      <c r="C12">
        <v>0</v>
      </c>
    </row>
    <row r="13" spans="1:3" x14ac:dyDescent="0.25">
      <c r="A13" s="103">
        <v>45170</v>
      </c>
      <c r="B13">
        <v>36.200000000000003</v>
      </c>
      <c r="C13">
        <v>0</v>
      </c>
    </row>
    <row r="14" spans="1:3" x14ac:dyDescent="0.25">
      <c r="A14" s="103">
        <v>45200</v>
      </c>
      <c r="B14">
        <v>139.4</v>
      </c>
      <c r="C14">
        <v>0</v>
      </c>
    </row>
    <row r="15" spans="1:3" x14ac:dyDescent="0.25">
      <c r="A15" s="103">
        <v>45231</v>
      </c>
      <c r="B15">
        <v>288.2</v>
      </c>
      <c r="C15">
        <v>0</v>
      </c>
    </row>
    <row r="16" spans="1:3" x14ac:dyDescent="0.25">
      <c r="A16" s="103">
        <v>45261</v>
      </c>
      <c r="B16">
        <v>300.39999999999998</v>
      </c>
      <c r="C16">
        <v>0</v>
      </c>
    </row>
    <row r="17" spans="1:3" x14ac:dyDescent="0.25">
      <c r="A17" s="103">
        <v>45292</v>
      </c>
      <c r="B17">
        <v>381.5</v>
      </c>
      <c r="C17">
        <v>0</v>
      </c>
    </row>
    <row r="18" spans="1:3" x14ac:dyDescent="0.25">
      <c r="A18" s="103">
        <v>45323</v>
      </c>
      <c r="B18">
        <v>259.89999999999998</v>
      </c>
      <c r="C18">
        <v>0</v>
      </c>
    </row>
    <row r="19" spans="1:3" x14ac:dyDescent="0.25">
      <c r="A19" s="103">
        <v>45352</v>
      </c>
      <c r="B19">
        <v>275.8</v>
      </c>
      <c r="C19">
        <v>0</v>
      </c>
    </row>
    <row r="20" spans="1:3" x14ac:dyDescent="0.25">
      <c r="A20" s="103">
        <v>45383</v>
      </c>
      <c r="B20">
        <v>222.1</v>
      </c>
      <c r="C20">
        <v>0</v>
      </c>
    </row>
    <row r="21" spans="1:3" x14ac:dyDescent="0.25">
      <c r="A21" s="103">
        <v>45413</v>
      </c>
      <c r="B21">
        <v>117.5</v>
      </c>
      <c r="C21">
        <v>0</v>
      </c>
    </row>
    <row r="22" spans="1:3" x14ac:dyDescent="0.25">
      <c r="A22" s="103">
        <v>45444</v>
      </c>
      <c r="B22">
        <v>80</v>
      </c>
      <c r="C22">
        <v>0</v>
      </c>
    </row>
    <row r="23" spans="1:3" x14ac:dyDescent="0.25">
      <c r="A23" s="103">
        <v>45474</v>
      </c>
      <c r="B23">
        <v>40</v>
      </c>
      <c r="C23">
        <v>0</v>
      </c>
    </row>
    <row r="24" spans="1:3" x14ac:dyDescent="0.25">
      <c r="A24" s="103">
        <v>45505</v>
      </c>
      <c r="B24">
        <v>22.6</v>
      </c>
      <c r="C24">
        <v>0</v>
      </c>
    </row>
    <row r="25" spans="1:3" x14ac:dyDescent="0.25">
      <c r="A25" s="103">
        <v>45536</v>
      </c>
      <c r="B25">
        <v>89.4</v>
      </c>
      <c r="C25">
        <v>0</v>
      </c>
    </row>
    <row r="26" spans="1:3" x14ac:dyDescent="0.25">
      <c r="A26" s="103">
        <v>45566</v>
      </c>
      <c r="B26">
        <v>164.7</v>
      </c>
      <c r="C26">
        <v>0</v>
      </c>
    </row>
    <row r="27" spans="1:3" x14ac:dyDescent="0.25">
      <c r="A27" s="103">
        <v>45597</v>
      </c>
      <c r="B27">
        <v>287</v>
      </c>
      <c r="C27">
        <v>0</v>
      </c>
    </row>
    <row r="28" spans="1:3" x14ac:dyDescent="0.25">
      <c r="A28" s="103">
        <v>45627</v>
      </c>
      <c r="B28">
        <v>320.5</v>
      </c>
      <c r="C28">
        <v>0</v>
      </c>
    </row>
    <row r="29" spans="1:3" x14ac:dyDescent="0.25">
      <c r="A29" s="103">
        <v>45658</v>
      </c>
      <c r="B29">
        <v>420.1</v>
      </c>
      <c r="C29">
        <v>0</v>
      </c>
    </row>
    <row r="30" spans="1:3" x14ac:dyDescent="0.25">
      <c r="A30" s="103">
        <v>45689</v>
      </c>
      <c r="B30">
        <v>349</v>
      </c>
      <c r="C30">
        <v>0</v>
      </c>
    </row>
    <row r="31" spans="1:3" x14ac:dyDescent="0.25">
      <c r="A31" s="103">
        <v>45717</v>
      </c>
      <c r="B31">
        <v>299</v>
      </c>
      <c r="C31">
        <v>0</v>
      </c>
    </row>
    <row r="32" spans="1:3" x14ac:dyDescent="0.25">
      <c r="A32" s="103">
        <v>45748</v>
      </c>
      <c r="B32">
        <v>201.3</v>
      </c>
      <c r="C32">
        <v>0</v>
      </c>
    </row>
    <row r="33" spans="1:3" x14ac:dyDescent="0.25">
      <c r="A33" s="103">
        <v>45778</v>
      </c>
      <c r="B33">
        <v>126.4</v>
      </c>
      <c r="C33">
        <v>0</v>
      </c>
    </row>
    <row r="34" spans="1:3" x14ac:dyDescent="0.25">
      <c r="A34" s="103">
        <v>45809</v>
      </c>
      <c r="B34">
        <v>39.9</v>
      </c>
      <c r="C34">
        <v>0</v>
      </c>
    </row>
    <row r="35" spans="1:3" x14ac:dyDescent="0.25">
      <c r="A35" s="103">
        <v>45839</v>
      </c>
      <c r="B35">
        <v>14.4</v>
      </c>
      <c r="C35">
        <v>0</v>
      </c>
    </row>
    <row r="36" spans="1:3" x14ac:dyDescent="0.25">
      <c r="A36" s="103">
        <v>45870</v>
      </c>
      <c r="B36">
        <v>26.6</v>
      </c>
      <c r="C36">
        <v>0</v>
      </c>
    </row>
    <row r="37" spans="1:3" x14ac:dyDescent="0.25">
      <c r="A37" s="103">
        <v>45901</v>
      </c>
      <c r="B37">
        <v>93.8</v>
      </c>
      <c r="C37">
        <v>0</v>
      </c>
    </row>
    <row r="38" spans="1:3" x14ac:dyDescent="0.25">
      <c r="A38" s="103">
        <v>45931</v>
      </c>
      <c r="B38">
        <v>167.9</v>
      </c>
      <c r="C38">
        <v>0</v>
      </c>
    </row>
    <row r="39" spans="1:3" x14ac:dyDescent="0.25">
      <c r="A39" s="103">
        <v>45962</v>
      </c>
      <c r="B39">
        <v>248.8</v>
      </c>
      <c r="C39">
        <v>0</v>
      </c>
    </row>
    <row r="40" spans="1:3" x14ac:dyDescent="0.25">
      <c r="A40" s="103">
        <v>45992</v>
      </c>
      <c r="B40">
        <v>310.60000000000002</v>
      </c>
      <c r="C40">
        <v>0</v>
      </c>
    </row>
    <row r="41" spans="1:3" x14ac:dyDescent="0.25">
      <c r="A41" s="103">
        <v>46023</v>
      </c>
      <c r="B41">
        <v>391.3</v>
      </c>
      <c r="C41">
        <v>0</v>
      </c>
    </row>
    <row r="42" spans="1:3" x14ac:dyDescent="0.25">
      <c r="A42" s="103">
        <v>46054</v>
      </c>
      <c r="B42">
        <v>279.39999999999998</v>
      </c>
      <c r="C42">
        <v>0</v>
      </c>
    </row>
    <row r="43" spans="1:3" x14ac:dyDescent="0.25">
      <c r="A43" s="103">
        <v>46082</v>
      </c>
      <c r="B43">
        <v>281.2</v>
      </c>
      <c r="C4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D11-9432-4C32-A787-8C791672B614}">
  <sheetPr>
    <tabColor theme="1" tint="0.499984740745262"/>
  </sheetPr>
  <dimension ref="A1:D37"/>
  <sheetViews>
    <sheetView topLeftCell="A2" workbookViewId="0">
      <selection activeCell="F31" sqref="F31"/>
    </sheetView>
  </sheetViews>
  <sheetFormatPr defaultRowHeight="15" x14ac:dyDescent="0.25"/>
  <cols>
    <col min="1" max="3" width="15" customWidth="1"/>
  </cols>
  <sheetData>
    <row r="1" spans="1:4" x14ac:dyDescent="0.25">
      <c r="A1" s="1" t="s">
        <v>39</v>
      </c>
      <c r="B1" s="1" t="s">
        <v>38</v>
      </c>
      <c r="C1" s="1" t="s">
        <v>37</v>
      </c>
      <c r="D1" s="1" t="s">
        <v>36</v>
      </c>
    </row>
    <row r="2" spans="1:4" x14ac:dyDescent="0.25">
      <c r="A2" t="s">
        <v>43</v>
      </c>
      <c r="B2" t="s">
        <v>35</v>
      </c>
      <c r="C2">
        <v>444337.32</v>
      </c>
      <c r="D2">
        <v>446053.72</v>
      </c>
    </row>
    <row r="3" spans="1:4" x14ac:dyDescent="0.25">
      <c r="A3" t="s">
        <v>43</v>
      </c>
      <c r="B3" t="s">
        <v>34</v>
      </c>
      <c r="C3">
        <v>395421.49</v>
      </c>
      <c r="D3">
        <v>339439.56</v>
      </c>
    </row>
    <row r="4" spans="1:4" x14ac:dyDescent="0.25">
      <c r="A4" t="s">
        <v>43</v>
      </c>
      <c r="B4" t="s">
        <v>33</v>
      </c>
      <c r="C4">
        <v>387104.17</v>
      </c>
      <c r="D4">
        <v>312971.58</v>
      </c>
    </row>
    <row r="5" spans="1:4" x14ac:dyDescent="0.25">
      <c r="A5" t="s">
        <v>43</v>
      </c>
      <c r="B5" t="s">
        <v>32</v>
      </c>
      <c r="C5">
        <v>433222.17</v>
      </c>
      <c r="D5">
        <v>303750.51</v>
      </c>
    </row>
    <row r="6" spans="1:4" x14ac:dyDescent="0.25">
      <c r="A6" t="s">
        <v>43</v>
      </c>
      <c r="B6" t="s">
        <v>31</v>
      </c>
      <c r="C6">
        <v>383919.48</v>
      </c>
      <c r="D6">
        <v>319021.65000000002</v>
      </c>
    </row>
    <row r="7" spans="1:4" x14ac:dyDescent="0.25">
      <c r="A7" t="s">
        <v>43</v>
      </c>
      <c r="B7" t="s">
        <v>30</v>
      </c>
      <c r="C7">
        <v>452868.12</v>
      </c>
      <c r="D7">
        <v>343547.29</v>
      </c>
    </row>
    <row r="8" spans="1:4" x14ac:dyDescent="0.25">
      <c r="A8" t="s">
        <v>43</v>
      </c>
      <c r="B8" t="s">
        <v>29</v>
      </c>
      <c r="C8">
        <v>397613.14</v>
      </c>
      <c r="D8">
        <v>546300.56000000006</v>
      </c>
    </row>
    <row r="9" spans="1:4" x14ac:dyDescent="0.25">
      <c r="A9" t="s">
        <v>43</v>
      </c>
      <c r="B9" t="s">
        <v>28</v>
      </c>
      <c r="C9">
        <v>408009.67</v>
      </c>
      <c r="D9">
        <v>879176.87</v>
      </c>
    </row>
    <row r="10" spans="1:4" x14ac:dyDescent="0.25">
      <c r="A10" t="s">
        <v>43</v>
      </c>
      <c r="B10" t="s">
        <v>27</v>
      </c>
      <c r="C10">
        <v>418855.08</v>
      </c>
      <c r="D10">
        <v>1257475.23</v>
      </c>
    </row>
    <row r="11" spans="1:4" x14ac:dyDescent="0.25">
      <c r="A11" t="s">
        <v>43</v>
      </c>
      <c r="B11" t="s">
        <v>26</v>
      </c>
      <c r="C11">
        <v>434134.11</v>
      </c>
      <c r="D11">
        <v>1352946.4</v>
      </c>
    </row>
    <row r="12" spans="1:4" x14ac:dyDescent="0.25">
      <c r="A12" t="s">
        <v>43</v>
      </c>
      <c r="B12" t="s">
        <v>25</v>
      </c>
      <c r="C12">
        <v>406982.26</v>
      </c>
      <c r="D12">
        <v>1064328.3999999999</v>
      </c>
    </row>
    <row r="13" spans="1:4" x14ac:dyDescent="0.25">
      <c r="A13" t="s">
        <v>43</v>
      </c>
      <c r="B13" t="s">
        <v>24</v>
      </c>
      <c r="C13">
        <v>420903.94</v>
      </c>
      <c r="D13">
        <v>693556.67</v>
      </c>
    </row>
    <row r="14" spans="1:4" x14ac:dyDescent="0.25">
      <c r="A14" t="s">
        <v>43</v>
      </c>
      <c r="B14" t="s">
        <v>23</v>
      </c>
      <c r="C14">
        <v>420135.12</v>
      </c>
      <c r="D14">
        <v>371835.29</v>
      </c>
    </row>
    <row r="15" spans="1:4" x14ac:dyDescent="0.25">
      <c r="A15" t="s">
        <v>43</v>
      </c>
      <c r="B15" t="s">
        <v>22</v>
      </c>
      <c r="C15">
        <v>421383.4</v>
      </c>
      <c r="D15">
        <v>318318.96999999997</v>
      </c>
    </row>
    <row r="16" spans="1:4" x14ac:dyDescent="0.25">
      <c r="A16" t="s">
        <v>43</v>
      </c>
      <c r="B16" t="s">
        <v>21</v>
      </c>
      <c r="C16">
        <v>376626.54</v>
      </c>
      <c r="D16">
        <v>297094.46999999997</v>
      </c>
    </row>
    <row r="17" spans="1:4" x14ac:dyDescent="0.25">
      <c r="A17" t="s">
        <v>43</v>
      </c>
      <c r="B17" t="s">
        <v>20</v>
      </c>
      <c r="C17">
        <v>450926.36</v>
      </c>
      <c r="D17">
        <v>289434.51</v>
      </c>
    </row>
    <row r="18" spans="1:4" x14ac:dyDescent="0.25">
      <c r="A18" t="s">
        <v>43</v>
      </c>
      <c r="B18" t="s">
        <v>19</v>
      </c>
      <c r="C18">
        <v>396390.93</v>
      </c>
      <c r="D18">
        <v>250683</v>
      </c>
    </row>
    <row r="19" spans="1:4" x14ac:dyDescent="0.25">
      <c r="A19" t="s">
        <v>43</v>
      </c>
      <c r="B19" t="s">
        <v>18</v>
      </c>
      <c r="C19">
        <v>427710.34</v>
      </c>
      <c r="D19">
        <v>336695.45</v>
      </c>
    </row>
    <row r="20" spans="1:4" x14ac:dyDescent="0.25">
      <c r="A20" t="s">
        <v>43</v>
      </c>
      <c r="B20" t="s">
        <v>17</v>
      </c>
      <c r="C20">
        <v>381328.06</v>
      </c>
      <c r="D20">
        <v>544713.02</v>
      </c>
    </row>
    <row r="21" spans="1:4" x14ac:dyDescent="0.25">
      <c r="A21" t="s">
        <v>43</v>
      </c>
      <c r="B21" t="s">
        <v>16</v>
      </c>
      <c r="C21">
        <v>374096.77</v>
      </c>
      <c r="D21">
        <v>884811.68</v>
      </c>
    </row>
    <row r="22" spans="1:4" x14ac:dyDescent="0.25">
      <c r="A22" t="s">
        <v>43</v>
      </c>
      <c r="B22" t="s">
        <v>15</v>
      </c>
      <c r="C22">
        <v>392609.55</v>
      </c>
      <c r="D22">
        <v>1266663.74</v>
      </c>
    </row>
    <row r="23" spans="1:4" x14ac:dyDescent="0.25">
      <c r="A23" t="s">
        <v>43</v>
      </c>
      <c r="B23" t="s">
        <v>14</v>
      </c>
      <c r="C23">
        <v>396976.48</v>
      </c>
      <c r="D23">
        <v>1368568.35</v>
      </c>
    </row>
    <row r="24" spans="1:4" x14ac:dyDescent="0.25">
      <c r="A24" t="s">
        <v>43</v>
      </c>
      <c r="B24" t="s">
        <v>13</v>
      </c>
      <c r="C24">
        <v>416364.41</v>
      </c>
      <c r="D24">
        <v>957886.95</v>
      </c>
    </row>
    <row r="25" spans="1:4" x14ac:dyDescent="0.25">
      <c r="A25" t="s">
        <v>43</v>
      </c>
      <c r="B25" t="s">
        <v>12</v>
      </c>
      <c r="C25">
        <v>451252.45</v>
      </c>
      <c r="D25">
        <v>647146.79</v>
      </c>
    </row>
    <row r="26" spans="1:4" x14ac:dyDescent="0.25">
      <c r="A26" t="s">
        <v>43</v>
      </c>
      <c r="B26" t="s">
        <v>11</v>
      </c>
      <c r="C26">
        <v>472886.56</v>
      </c>
      <c r="D26">
        <v>470373.97</v>
      </c>
    </row>
    <row r="27" spans="1:4" x14ac:dyDescent="0.25">
      <c r="A27" t="s">
        <v>43</v>
      </c>
      <c r="B27" t="s">
        <v>10</v>
      </c>
      <c r="C27">
        <v>425633.39</v>
      </c>
      <c r="D27">
        <v>339499.47</v>
      </c>
    </row>
    <row r="28" spans="1:4" x14ac:dyDescent="0.25">
      <c r="A28" t="s">
        <v>43</v>
      </c>
      <c r="B28" t="s">
        <v>9</v>
      </c>
      <c r="C28">
        <v>421620.06</v>
      </c>
      <c r="D28">
        <v>279080.59000000003</v>
      </c>
    </row>
    <row r="29" spans="1:4" x14ac:dyDescent="0.25">
      <c r="A29" t="s">
        <v>43</v>
      </c>
      <c r="B29" t="s">
        <v>8</v>
      </c>
      <c r="C29">
        <v>453478.85</v>
      </c>
      <c r="D29">
        <v>275958.5</v>
      </c>
    </row>
    <row r="30" spans="1:4" x14ac:dyDescent="0.25">
      <c r="A30" t="s">
        <v>43</v>
      </c>
      <c r="B30" t="s">
        <v>7</v>
      </c>
      <c r="C30">
        <v>494299.3</v>
      </c>
      <c r="D30">
        <v>280897.99</v>
      </c>
    </row>
    <row r="31" spans="1:4" x14ac:dyDescent="0.25">
      <c r="A31" t="s">
        <v>43</v>
      </c>
      <c r="B31" t="s">
        <v>6</v>
      </c>
      <c r="C31">
        <v>443484.51</v>
      </c>
      <c r="D31">
        <v>364565.35</v>
      </c>
    </row>
    <row r="32" spans="1:4" x14ac:dyDescent="0.25">
      <c r="A32" t="s">
        <v>43</v>
      </c>
      <c r="B32" t="s">
        <v>5</v>
      </c>
      <c r="C32">
        <v>430497.01</v>
      </c>
      <c r="D32">
        <v>613321.85</v>
      </c>
    </row>
    <row r="33" spans="1:4" x14ac:dyDescent="0.25">
      <c r="A33" t="s">
        <v>43</v>
      </c>
      <c r="B33" t="s">
        <v>4</v>
      </c>
      <c r="C33">
        <v>424340.13</v>
      </c>
      <c r="D33">
        <v>952028.28</v>
      </c>
    </row>
    <row r="34" spans="1:4" x14ac:dyDescent="0.25">
      <c r="A34" t="s">
        <v>43</v>
      </c>
      <c r="B34" t="s">
        <v>3</v>
      </c>
      <c r="C34">
        <v>489058.97</v>
      </c>
      <c r="D34">
        <v>1222909.3500000001</v>
      </c>
    </row>
    <row r="35" spans="1:4" x14ac:dyDescent="0.25">
      <c r="A35" t="s">
        <v>43</v>
      </c>
      <c r="B35" t="s">
        <v>2</v>
      </c>
      <c r="C35">
        <v>417936.97</v>
      </c>
      <c r="D35">
        <v>1537140.48</v>
      </c>
    </row>
    <row r="36" spans="1:4" x14ac:dyDescent="0.25">
      <c r="A36" t="s">
        <v>43</v>
      </c>
      <c r="B36" t="s">
        <v>1</v>
      </c>
      <c r="C36">
        <v>482993.56</v>
      </c>
      <c r="D36">
        <v>1134104.54</v>
      </c>
    </row>
    <row r="37" spans="1:4" x14ac:dyDescent="0.25">
      <c r="A37" t="s">
        <v>43</v>
      </c>
      <c r="B37" t="s">
        <v>0</v>
      </c>
      <c r="C37">
        <v>488968.58</v>
      </c>
      <c r="D37">
        <v>595230.94999999995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02D7-44A4-4755-B931-3A70FFFCB4D4}">
  <sheetPr>
    <tabColor theme="1" tint="0.499984740745262"/>
  </sheetPr>
  <dimension ref="A1:D37"/>
  <sheetViews>
    <sheetView topLeftCell="A2" workbookViewId="0">
      <selection activeCell="A2" sqref="A2:D37"/>
    </sheetView>
  </sheetViews>
  <sheetFormatPr defaultRowHeight="15" x14ac:dyDescent="0.25"/>
  <cols>
    <col min="1" max="3" width="15" customWidth="1"/>
  </cols>
  <sheetData>
    <row r="1" spans="1:4" x14ac:dyDescent="0.25">
      <c r="A1" s="1" t="s">
        <v>39</v>
      </c>
      <c r="B1" s="1" t="s">
        <v>38</v>
      </c>
      <c r="C1" s="1" t="s">
        <v>37</v>
      </c>
      <c r="D1" s="1" t="s">
        <v>36</v>
      </c>
    </row>
    <row r="2" spans="1:4" x14ac:dyDescent="0.25">
      <c r="A2" t="s">
        <v>42</v>
      </c>
      <c r="B2" t="s">
        <v>35</v>
      </c>
      <c r="C2">
        <v>340707.47</v>
      </c>
      <c r="D2">
        <v>294275.02</v>
      </c>
    </row>
    <row r="3" spans="1:4" x14ac:dyDescent="0.25">
      <c r="A3" t="s">
        <v>42</v>
      </c>
      <c r="B3" t="s">
        <v>34</v>
      </c>
      <c r="C3">
        <v>306897.5</v>
      </c>
      <c r="D3">
        <v>218436.96</v>
      </c>
    </row>
    <row r="4" spans="1:4" x14ac:dyDescent="0.25">
      <c r="A4" t="s">
        <v>42</v>
      </c>
      <c r="B4" t="s">
        <v>33</v>
      </c>
      <c r="C4">
        <v>305632.28999999998</v>
      </c>
      <c r="D4">
        <v>184767.82</v>
      </c>
    </row>
    <row r="5" spans="1:4" x14ac:dyDescent="0.25">
      <c r="A5" t="s">
        <v>42</v>
      </c>
      <c r="B5" t="s">
        <v>32</v>
      </c>
      <c r="C5">
        <v>332226.65000000002</v>
      </c>
      <c r="D5">
        <v>196729.37</v>
      </c>
    </row>
    <row r="6" spans="1:4" x14ac:dyDescent="0.25">
      <c r="A6" t="s">
        <v>42</v>
      </c>
      <c r="B6" t="s">
        <v>31</v>
      </c>
      <c r="C6">
        <v>342239.09</v>
      </c>
      <c r="D6">
        <v>190398.01</v>
      </c>
    </row>
    <row r="7" spans="1:4" x14ac:dyDescent="0.25">
      <c r="A7" t="s">
        <v>42</v>
      </c>
      <c r="B7" t="s">
        <v>30</v>
      </c>
      <c r="C7">
        <v>293473.78000000003</v>
      </c>
      <c r="D7">
        <v>249534.52</v>
      </c>
    </row>
    <row r="8" spans="1:4" x14ac:dyDescent="0.25">
      <c r="A8" t="s">
        <v>42</v>
      </c>
      <c r="B8" t="s">
        <v>29</v>
      </c>
      <c r="C8">
        <v>334207.38</v>
      </c>
      <c r="D8">
        <v>387616.83</v>
      </c>
    </row>
    <row r="9" spans="1:4" x14ac:dyDescent="0.25">
      <c r="A9" t="s">
        <v>42</v>
      </c>
      <c r="B9" t="s">
        <v>28</v>
      </c>
      <c r="C9">
        <v>334854.23</v>
      </c>
      <c r="D9">
        <v>573673.15</v>
      </c>
    </row>
    <row r="10" spans="1:4" x14ac:dyDescent="0.25">
      <c r="A10" t="s">
        <v>42</v>
      </c>
      <c r="B10" t="s">
        <v>27</v>
      </c>
      <c r="C10">
        <v>319084.39</v>
      </c>
      <c r="D10">
        <v>849093.02</v>
      </c>
    </row>
    <row r="11" spans="1:4" x14ac:dyDescent="0.25">
      <c r="A11" t="s">
        <v>42</v>
      </c>
      <c r="B11" t="s">
        <v>26</v>
      </c>
      <c r="C11">
        <v>287491.02</v>
      </c>
      <c r="D11">
        <v>882235.95</v>
      </c>
    </row>
    <row r="12" spans="1:4" x14ac:dyDescent="0.25">
      <c r="A12" t="s">
        <v>42</v>
      </c>
      <c r="B12" t="s">
        <v>25</v>
      </c>
      <c r="C12">
        <v>287872.83</v>
      </c>
      <c r="D12">
        <v>737570.43</v>
      </c>
    </row>
    <row r="13" spans="1:4" x14ac:dyDescent="0.25">
      <c r="A13" t="s">
        <v>42</v>
      </c>
      <c r="B13" t="s">
        <v>24</v>
      </c>
      <c r="C13">
        <v>305846.62</v>
      </c>
      <c r="D13">
        <v>431527.86</v>
      </c>
    </row>
    <row r="14" spans="1:4" x14ac:dyDescent="0.25">
      <c r="A14" t="s">
        <v>42</v>
      </c>
      <c r="B14" t="s">
        <v>23</v>
      </c>
      <c r="C14">
        <v>339988.49</v>
      </c>
      <c r="D14">
        <v>308737.71999999997</v>
      </c>
    </row>
    <row r="15" spans="1:4" x14ac:dyDescent="0.25">
      <c r="A15" t="s">
        <v>42</v>
      </c>
      <c r="B15" t="s">
        <v>22</v>
      </c>
      <c r="C15">
        <v>327415.8</v>
      </c>
      <c r="D15">
        <v>224062.5</v>
      </c>
    </row>
    <row r="16" spans="1:4" x14ac:dyDescent="0.25">
      <c r="A16" t="s">
        <v>42</v>
      </c>
      <c r="B16" t="s">
        <v>21</v>
      </c>
      <c r="C16">
        <v>331636.12</v>
      </c>
      <c r="D16">
        <v>182549.18</v>
      </c>
    </row>
    <row r="17" spans="1:4" x14ac:dyDescent="0.25">
      <c r="A17" t="s">
        <v>42</v>
      </c>
      <c r="B17" t="s">
        <v>20</v>
      </c>
      <c r="C17">
        <v>375945.16</v>
      </c>
      <c r="D17">
        <v>207883.93</v>
      </c>
    </row>
    <row r="18" spans="1:4" x14ac:dyDescent="0.25">
      <c r="A18" t="s">
        <v>42</v>
      </c>
      <c r="B18" t="s">
        <v>19</v>
      </c>
      <c r="C18">
        <v>355430.16</v>
      </c>
      <c r="D18">
        <v>210364.55</v>
      </c>
    </row>
    <row r="19" spans="1:4" x14ac:dyDescent="0.25">
      <c r="A19" t="s">
        <v>42</v>
      </c>
      <c r="B19" t="s">
        <v>18</v>
      </c>
      <c r="C19">
        <v>367219.31</v>
      </c>
      <c r="D19">
        <v>229427.4</v>
      </c>
    </row>
    <row r="20" spans="1:4" x14ac:dyDescent="0.25">
      <c r="A20" t="s">
        <v>42</v>
      </c>
      <c r="B20" t="s">
        <v>17</v>
      </c>
      <c r="C20">
        <v>373373.73</v>
      </c>
      <c r="D20">
        <v>394715.35</v>
      </c>
    </row>
    <row r="21" spans="1:4" x14ac:dyDescent="0.25">
      <c r="A21" t="s">
        <v>42</v>
      </c>
      <c r="B21" t="s">
        <v>16</v>
      </c>
      <c r="C21">
        <v>367480.21</v>
      </c>
      <c r="D21">
        <v>633987.52</v>
      </c>
    </row>
    <row r="22" spans="1:4" x14ac:dyDescent="0.25">
      <c r="A22" t="s">
        <v>42</v>
      </c>
      <c r="B22" t="s">
        <v>15</v>
      </c>
      <c r="C22">
        <v>333592.26</v>
      </c>
      <c r="D22">
        <v>812453.46</v>
      </c>
    </row>
    <row r="23" spans="1:4" x14ac:dyDescent="0.25">
      <c r="A23" t="s">
        <v>42</v>
      </c>
      <c r="B23" t="s">
        <v>14</v>
      </c>
      <c r="C23">
        <v>327356.03999999998</v>
      </c>
      <c r="D23">
        <v>964810.97</v>
      </c>
    </row>
    <row r="24" spans="1:4" x14ac:dyDescent="0.25">
      <c r="A24" t="s">
        <v>42</v>
      </c>
      <c r="B24" t="s">
        <v>13</v>
      </c>
      <c r="C24">
        <v>368212.38</v>
      </c>
      <c r="D24">
        <v>787291.23</v>
      </c>
    </row>
    <row r="25" spans="1:4" x14ac:dyDescent="0.25">
      <c r="A25" t="s">
        <v>42</v>
      </c>
      <c r="B25" t="s">
        <v>12</v>
      </c>
      <c r="C25">
        <v>312055.46999999997</v>
      </c>
      <c r="D25">
        <v>441535.05</v>
      </c>
    </row>
    <row r="26" spans="1:4" x14ac:dyDescent="0.25">
      <c r="A26" t="s">
        <v>42</v>
      </c>
      <c r="B26" t="s">
        <v>11</v>
      </c>
      <c r="C26">
        <v>296323.13</v>
      </c>
      <c r="D26">
        <v>282898.32</v>
      </c>
    </row>
    <row r="27" spans="1:4" x14ac:dyDescent="0.25">
      <c r="A27" t="s">
        <v>42</v>
      </c>
      <c r="B27" t="s">
        <v>10</v>
      </c>
      <c r="C27">
        <v>349114.08</v>
      </c>
      <c r="D27">
        <v>235046.25</v>
      </c>
    </row>
    <row r="28" spans="1:4" x14ac:dyDescent="0.25">
      <c r="A28" t="s">
        <v>42</v>
      </c>
      <c r="B28" t="s">
        <v>9</v>
      </c>
      <c r="C28">
        <v>321910.62</v>
      </c>
      <c r="D28">
        <v>202844.48</v>
      </c>
    </row>
    <row r="29" spans="1:4" x14ac:dyDescent="0.25">
      <c r="A29" t="s">
        <v>42</v>
      </c>
      <c r="B29" t="s">
        <v>8</v>
      </c>
      <c r="C29">
        <v>311958.43</v>
      </c>
      <c r="D29">
        <v>213322.46</v>
      </c>
    </row>
    <row r="30" spans="1:4" x14ac:dyDescent="0.25">
      <c r="A30" t="s">
        <v>42</v>
      </c>
      <c r="B30" t="s">
        <v>7</v>
      </c>
      <c r="C30">
        <v>350367.24</v>
      </c>
      <c r="D30">
        <v>185252.6</v>
      </c>
    </row>
    <row r="31" spans="1:4" x14ac:dyDescent="0.25">
      <c r="A31" t="s">
        <v>42</v>
      </c>
      <c r="B31" t="s">
        <v>6</v>
      </c>
      <c r="C31">
        <v>320528.89</v>
      </c>
      <c r="D31">
        <v>233958.32</v>
      </c>
    </row>
    <row r="32" spans="1:4" x14ac:dyDescent="0.25">
      <c r="A32" t="s">
        <v>42</v>
      </c>
      <c r="B32" t="s">
        <v>5</v>
      </c>
      <c r="C32">
        <v>306904.81</v>
      </c>
      <c r="D32">
        <v>353749.42</v>
      </c>
    </row>
    <row r="33" spans="1:4" x14ac:dyDescent="0.25">
      <c r="A33" t="s">
        <v>42</v>
      </c>
      <c r="B33" t="s">
        <v>4</v>
      </c>
      <c r="C33">
        <v>327732.95</v>
      </c>
      <c r="D33">
        <v>585102.13</v>
      </c>
    </row>
    <row r="34" spans="1:4" x14ac:dyDescent="0.25">
      <c r="A34" t="s">
        <v>42</v>
      </c>
      <c r="B34" t="s">
        <v>3</v>
      </c>
      <c r="C34">
        <v>291936.74</v>
      </c>
      <c r="D34">
        <v>838349.67</v>
      </c>
    </row>
    <row r="35" spans="1:4" x14ac:dyDescent="0.25">
      <c r="A35" t="s">
        <v>42</v>
      </c>
      <c r="B35" t="s">
        <v>2</v>
      </c>
      <c r="C35">
        <v>346891.98</v>
      </c>
      <c r="D35">
        <v>923880.9</v>
      </c>
    </row>
    <row r="36" spans="1:4" x14ac:dyDescent="0.25">
      <c r="A36" t="s">
        <v>42</v>
      </c>
      <c r="B36" t="s">
        <v>1</v>
      </c>
      <c r="C36">
        <v>297928.55</v>
      </c>
      <c r="D36">
        <v>729444.02</v>
      </c>
    </row>
    <row r="37" spans="1:4" x14ac:dyDescent="0.25">
      <c r="A37" t="s">
        <v>42</v>
      </c>
      <c r="B37" t="s">
        <v>0</v>
      </c>
      <c r="C37">
        <v>351855.51</v>
      </c>
      <c r="D37">
        <v>415965.12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81C9-BFA4-4453-A971-6575B3D4AC80}">
  <sheetPr>
    <tabColor theme="1" tint="0.499984740745262"/>
  </sheetPr>
  <dimension ref="A1:D37"/>
  <sheetViews>
    <sheetView topLeftCell="A8" workbookViewId="0">
      <selection activeCell="A2" sqref="A2:D37"/>
    </sheetView>
  </sheetViews>
  <sheetFormatPr defaultRowHeight="15" x14ac:dyDescent="0.25"/>
  <cols>
    <col min="1" max="3" width="15" customWidth="1"/>
  </cols>
  <sheetData>
    <row r="1" spans="1:4" x14ac:dyDescent="0.25">
      <c r="A1" s="1" t="s">
        <v>39</v>
      </c>
      <c r="B1" s="1" t="s">
        <v>38</v>
      </c>
      <c r="C1" s="1" t="s">
        <v>37</v>
      </c>
      <c r="D1" s="1" t="s">
        <v>36</v>
      </c>
    </row>
    <row r="2" spans="1:4" x14ac:dyDescent="0.25">
      <c r="A2" t="s">
        <v>41</v>
      </c>
      <c r="B2" t="s">
        <v>35</v>
      </c>
      <c r="C2">
        <v>210951.87</v>
      </c>
      <c r="D2">
        <v>222240.25</v>
      </c>
    </row>
    <row r="3" spans="1:4" x14ac:dyDescent="0.25">
      <c r="A3" t="s">
        <v>41</v>
      </c>
      <c r="B3" t="s">
        <v>34</v>
      </c>
      <c r="C3">
        <v>216746.84</v>
      </c>
      <c r="D3">
        <v>181802.75</v>
      </c>
    </row>
    <row r="4" spans="1:4" x14ac:dyDescent="0.25">
      <c r="A4" t="s">
        <v>41</v>
      </c>
      <c r="B4" t="s">
        <v>33</v>
      </c>
      <c r="C4">
        <v>228579.68</v>
      </c>
      <c r="D4">
        <v>142706.65</v>
      </c>
    </row>
    <row r="5" spans="1:4" x14ac:dyDescent="0.25">
      <c r="A5" t="s">
        <v>41</v>
      </c>
      <c r="B5" t="s">
        <v>32</v>
      </c>
      <c r="C5">
        <v>204390.94</v>
      </c>
      <c r="D5">
        <v>151194.84</v>
      </c>
    </row>
    <row r="6" spans="1:4" x14ac:dyDescent="0.25">
      <c r="A6" t="s">
        <v>41</v>
      </c>
      <c r="B6" t="s">
        <v>31</v>
      </c>
      <c r="C6">
        <v>214653.94</v>
      </c>
      <c r="D6">
        <v>132809.23000000001</v>
      </c>
    </row>
    <row r="7" spans="1:4" x14ac:dyDescent="0.25">
      <c r="A7" t="s">
        <v>41</v>
      </c>
      <c r="B7" t="s">
        <v>30</v>
      </c>
      <c r="C7">
        <v>202186.22</v>
      </c>
      <c r="D7">
        <v>180335.77</v>
      </c>
    </row>
    <row r="8" spans="1:4" x14ac:dyDescent="0.25">
      <c r="A8" t="s">
        <v>41</v>
      </c>
      <c r="B8" t="s">
        <v>29</v>
      </c>
      <c r="C8">
        <v>230540.41</v>
      </c>
      <c r="D8">
        <v>255987.27</v>
      </c>
    </row>
    <row r="9" spans="1:4" x14ac:dyDescent="0.25">
      <c r="A9" t="s">
        <v>41</v>
      </c>
      <c r="B9" t="s">
        <v>28</v>
      </c>
      <c r="C9">
        <v>223172.5</v>
      </c>
      <c r="D9">
        <v>401826.37</v>
      </c>
    </row>
    <row r="10" spans="1:4" x14ac:dyDescent="0.25">
      <c r="A10" t="s">
        <v>41</v>
      </c>
      <c r="B10" t="s">
        <v>27</v>
      </c>
      <c r="C10">
        <v>229098.11</v>
      </c>
      <c r="D10">
        <v>596091.84</v>
      </c>
    </row>
    <row r="11" spans="1:4" x14ac:dyDescent="0.25">
      <c r="A11" t="s">
        <v>41</v>
      </c>
      <c r="B11" t="s">
        <v>26</v>
      </c>
      <c r="C11">
        <v>231135.88</v>
      </c>
      <c r="D11">
        <v>692415.42</v>
      </c>
    </row>
    <row r="12" spans="1:4" x14ac:dyDescent="0.25">
      <c r="A12" t="s">
        <v>41</v>
      </c>
      <c r="B12" t="s">
        <v>25</v>
      </c>
      <c r="C12">
        <v>242080.22</v>
      </c>
      <c r="D12">
        <v>492827.64</v>
      </c>
    </row>
    <row r="13" spans="1:4" x14ac:dyDescent="0.25">
      <c r="A13" t="s">
        <v>41</v>
      </c>
      <c r="B13" t="s">
        <v>24</v>
      </c>
      <c r="C13">
        <v>215557.22</v>
      </c>
      <c r="D13">
        <v>294163.28000000003</v>
      </c>
    </row>
    <row r="14" spans="1:4" x14ac:dyDescent="0.25">
      <c r="A14" t="s">
        <v>41</v>
      </c>
      <c r="B14" t="s">
        <v>23</v>
      </c>
      <c r="C14">
        <v>220187.43</v>
      </c>
      <c r="D14">
        <v>223237.79</v>
      </c>
    </row>
    <row r="15" spans="1:4" x14ac:dyDescent="0.25">
      <c r="A15" t="s">
        <v>41</v>
      </c>
      <c r="B15" t="s">
        <v>22</v>
      </c>
      <c r="C15">
        <v>246069.75</v>
      </c>
      <c r="D15">
        <v>182253.77</v>
      </c>
    </row>
    <row r="16" spans="1:4" x14ac:dyDescent="0.25">
      <c r="A16" t="s">
        <v>41</v>
      </c>
      <c r="B16" t="s">
        <v>21</v>
      </c>
      <c r="C16">
        <v>232761.54</v>
      </c>
      <c r="D16">
        <v>136765.35999999999</v>
      </c>
    </row>
    <row r="17" spans="1:4" x14ac:dyDescent="0.25">
      <c r="A17" t="s">
        <v>41</v>
      </c>
      <c r="B17" t="s">
        <v>20</v>
      </c>
      <c r="C17">
        <v>212559.04</v>
      </c>
      <c r="D17">
        <v>155667.47</v>
      </c>
    </row>
    <row r="18" spans="1:4" x14ac:dyDescent="0.25">
      <c r="A18" t="s">
        <v>41</v>
      </c>
      <c r="B18" t="s">
        <v>19</v>
      </c>
      <c r="C18">
        <v>249919.88</v>
      </c>
      <c r="D18">
        <v>148049.84</v>
      </c>
    </row>
    <row r="19" spans="1:4" x14ac:dyDescent="0.25">
      <c r="A19" t="s">
        <v>41</v>
      </c>
      <c r="B19" t="s">
        <v>18</v>
      </c>
      <c r="C19">
        <v>223940.02</v>
      </c>
      <c r="D19">
        <v>174827.22</v>
      </c>
    </row>
    <row r="20" spans="1:4" x14ac:dyDescent="0.25">
      <c r="A20" t="s">
        <v>41</v>
      </c>
      <c r="B20" t="s">
        <v>17</v>
      </c>
      <c r="C20">
        <v>241846.13</v>
      </c>
      <c r="D20">
        <v>311328.86</v>
      </c>
    </row>
    <row r="21" spans="1:4" x14ac:dyDescent="0.25">
      <c r="A21" t="s">
        <v>41</v>
      </c>
      <c r="B21" t="s">
        <v>16</v>
      </c>
      <c r="C21">
        <v>249302.92</v>
      </c>
      <c r="D21">
        <v>456849.38</v>
      </c>
    </row>
    <row r="22" spans="1:4" x14ac:dyDescent="0.25">
      <c r="A22" t="s">
        <v>41</v>
      </c>
      <c r="B22" t="s">
        <v>15</v>
      </c>
      <c r="C22">
        <v>237962.3</v>
      </c>
      <c r="D22">
        <v>594974.67000000004</v>
      </c>
    </row>
    <row r="23" spans="1:4" x14ac:dyDescent="0.25">
      <c r="A23" t="s">
        <v>41</v>
      </c>
      <c r="B23" t="s">
        <v>14</v>
      </c>
      <c r="C23">
        <v>215730.27</v>
      </c>
      <c r="D23">
        <v>778530.38</v>
      </c>
    </row>
    <row r="24" spans="1:4" x14ac:dyDescent="0.25">
      <c r="A24" t="s">
        <v>41</v>
      </c>
      <c r="B24" t="s">
        <v>13</v>
      </c>
      <c r="C24">
        <v>236314.69</v>
      </c>
      <c r="D24">
        <v>487706.54</v>
      </c>
    </row>
    <row r="25" spans="1:4" x14ac:dyDescent="0.25">
      <c r="A25" t="s">
        <v>41</v>
      </c>
      <c r="B25" t="s">
        <v>12</v>
      </c>
      <c r="C25">
        <v>212946.33</v>
      </c>
      <c r="D25">
        <v>335084.96999999997</v>
      </c>
    </row>
    <row r="26" spans="1:4" x14ac:dyDescent="0.25">
      <c r="A26" t="s">
        <v>41</v>
      </c>
      <c r="B26" t="s">
        <v>11</v>
      </c>
      <c r="C26">
        <v>201453.37</v>
      </c>
      <c r="D26">
        <v>200333.2</v>
      </c>
    </row>
    <row r="27" spans="1:4" x14ac:dyDescent="0.25">
      <c r="A27" t="s">
        <v>41</v>
      </c>
      <c r="B27" t="s">
        <v>10</v>
      </c>
      <c r="C27">
        <v>205572.32</v>
      </c>
      <c r="D27">
        <v>151907.91</v>
      </c>
    </row>
    <row r="28" spans="1:4" x14ac:dyDescent="0.25">
      <c r="A28" t="s">
        <v>41</v>
      </c>
      <c r="B28" t="s">
        <v>9</v>
      </c>
      <c r="C28">
        <v>207975.13</v>
      </c>
      <c r="D28">
        <v>121860.22</v>
      </c>
    </row>
    <row r="29" spans="1:4" x14ac:dyDescent="0.25">
      <c r="A29" t="s">
        <v>41</v>
      </c>
      <c r="B29" t="s">
        <v>8</v>
      </c>
      <c r="C29">
        <v>192541.94</v>
      </c>
      <c r="D29">
        <v>134959.89000000001</v>
      </c>
    </row>
    <row r="30" spans="1:4" x14ac:dyDescent="0.25">
      <c r="A30" t="s">
        <v>41</v>
      </c>
      <c r="B30" t="s">
        <v>7</v>
      </c>
      <c r="C30">
        <v>205479.42</v>
      </c>
      <c r="D30">
        <v>137602.54999999999</v>
      </c>
    </row>
    <row r="31" spans="1:4" x14ac:dyDescent="0.25">
      <c r="A31" t="s">
        <v>41</v>
      </c>
      <c r="B31" t="s">
        <v>6</v>
      </c>
      <c r="C31">
        <v>205797.83</v>
      </c>
      <c r="D31">
        <v>162970.43</v>
      </c>
    </row>
    <row r="32" spans="1:4" x14ac:dyDescent="0.25">
      <c r="A32" t="s">
        <v>41</v>
      </c>
      <c r="B32" t="s">
        <v>5</v>
      </c>
      <c r="C32">
        <v>183295.71</v>
      </c>
      <c r="D32">
        <v>250432.65</v>
      </c>
    </row>
    <row r="33" spans="1:4" x14ac:dyDescent="0.25">
      <c r="A33" t="s">
        <v>41</v>
      </c>
      <c r="B33" t="s">
        <v>4</v>
      </c>
      <c r="C33">
        <v>190139.96</v>
      </c>
      <c r="D33">
        <v>366100.84</v>
      </c>
    </row>
    <row r="34" spans="1:4" x14ac:dyDescent="0.25">
      <c r="A34" t="s">
        <v>41</v>
      </c>
      <c r="B34" t="s">
        <v>3</v>
      </c>
      <c r="C34">
        <v>218382.76</v>
      </c>
      <c r="D34">
        <v>566411.61</v>
      </c>
    </row>
    <row r="35" spans="1:4" x14ac:dyDescent="0.25">
      <c r="A35" t="s">
        <v>41</v>
      </c>
      <c r="B35" t="s">
        <v>2</v>
      </c>
      <c r="C35">
        <v>215152.15</v>
      </c>
      <c r="D35">
        <v>659962.86</v>
      </c>
    </row>
    <row r="36" spans="1:4" x14ac:dyDescent="0.25">
      <c r="A36" t="s">
        <v>41</v>
      </c>
      <c r="B36" t="s">
        <v>1</v>
      </c>
      <c r="C36">
        <v>211272.29</v>
      </c>
      <c r="D36">
        <v>482576.32</v>
      </c>
    </row>
    <row r="37" spans="1:4" x14ac:dyDescent="0.25">
      <c r="A37" t="s">
        <v>41</v>
      </c>
      <c r="B37" t="s">
        <v>0</v>
      </c>
      <c r="C37">
        <v>202577.4</v>
      </c>
      <c r="D37">
        <v>288960.09999999998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7DB38-0BA0-4180-A5F0-5907DE0BF830}">
  <sheetPr>
    <tabColor theme="1" tint="0.499984740745262"/>
  </sheetPr>
  <dimension ref="A1:D37"/>
  <sheetViews>
    <sheetView topLeftCell="A5" workbookViewId="0">
      <selection activeCell="F38" sqref="F38"/>
    </sheetView>
  </sheetViews>
  <sheetFormatPr defaultRowHeight="15" x14ac:dyDescent="0.25"/>
  <cols>
    <col min="1" max="1" width="10.140625" bestFit="1" customWidth="1"/>
    <col min="2" max="4" width="15" customWidth="1"/>
  </cols>
  <sheetData>
    <row r="1" spans="1:4" x14ac:dyDescent="0.25">
      <c r="A1" s="1" t="s">
        <v>39</v>
      </c>
      <c r="B1" s="1" t="s">
        <v>38</v>
      </c>
      <c r="C1" s="1" t="s">
        <v>37</v>
      </c>
      <c r="D1" s="1" t="s">
        <v>36</v>
      </c>
    </row>
    <row r="2" spans="1:4" x14ac:dyDescent="0.25">
      <c r="A2" t="s">
        <v>40</v>
      </c>
      <c r="B2" t="s">
        <v>35</v>
      </c>
      <c r="C2">
        <v>98532.56</v>
      </c>
      <c r="D2">
        <v>95581.08</v>
      </c>
    </row>
    <row r="3" spans="1:4" x14ac:dyDescent="0.25">
      <c r="A3" t="s">
        <v>40</v>
      </c>
      <c r="B3" t="s">
        <v>34</v>
      </c>
      <c r="C3">
        <v>106049.09</v>
      </c>
      <c r="D3">
        <v>82340.86</v>
      </c>
    </row>
    <row r="4" spans="1:4" x14ac:dyDescent="0.25">
      <c r="A4" t="s">
        <v>40</v>
      </c>
      <c r="B4" t="s">
        <v>33</v>
      </c>
      <c r="C4">
        <v>112128.81</v>
      </c>
      <c r="D4">
        <v>76813.429999999993</v>
      </c>
    </row>
    <row r="5" spans="1:4" x14ac:dyDescent="0.25">
      <c r="A5" t="s">
        <v>40</v>
      </c>
      <c r="B5" t="s">
        <v>32</v>
      </c>
      <c r="C5">
        <v>111601.31</v>
      </c>
      <c r="D5">
        <v>68591.59</v>
      </c>
    </row>
    <row r="6" spans="1:4" x14ac:dyDescent="0.25">
      <c r="A6" t="s">
        <v>40</v>
      </c>
      <c r="B6" t="s">
        <v>31</v>
      </c>
      <c r="C6">
        <v>93064.35</v>
      </c>
      <c r="D6">
        <v>76452.740000000005</v>
      </c>
    </row>
    <row r="7" spans="1:4" x14ac:dyDescent="0.25">
      <c r="A7" t="s">
        <v>40</v>
      </c>
      <c r="B7" t="s">
        <v>30</v>
      </c>
      <c r="C7">
        <v>101570.74</v>
      </c>
      <c r="D7">
        <v>96240.84</v>
      </c>
    </row>
    <row r="8" spans="1:4" x14ac:dyDescent="0.25">
      <c r="A8" t="s">
        <v>40</v>
      </c>
      <c r="B8" t="s">
        <v>29</v>
      </c>
      <c r="C8">
        <v>112606.17</v>
      </c>
      <c r="D8">
        <v>150784.17000000001</v>
      </c>
    </row>
    <row r="9" spans="1:4" x14ac:dyDescent="0.25">
      <c r="A9" t="s">
        <v>40</v>
      </c>
      <c r="B9" t="s">
        <v>28</v>
      </c>
      <c r="C9">
        <v>98814.43</v>
      </c>
      <c r="D9">
        <v>206405.97</v>
      </c>
    </row>
    <row r="10" spans="1:4" x14ac:dyDescent="0.25">
      <c r="A10" t="s">
        <v>40</v>
      </c>
      <c r="B10" t="s">
        <v>27</v>
      </c>
      <c r="C10">
        <v>110287.87</v>
      </c>
      <c r="D10">
        <v>305288.09000000003</v>
      </c>
    </row>
    <row r="11" spans="1:4" x14ac:dyDescent="0.25">
      <c r="A11" t="s">
        <v>40</v>
      </c>
      <c r="B11" t="s">
        <v>26</v>
      </c>
      <c r="C11">
        <v>96239.07</v>
      </c>
      <c r="D11">
        <v>356101.36</v>
      </c>
    </row>
    <row r="12" spans="1:4" x14ac:dyDescent="0.25">
      <c r="A12" t="s">
        <v>40</v>
      </c>
      <c r="B12" t="s">
        <v>25</v>
      </c>
      <c r="C12">
        <v>112040.1</v>
      </c>
      <c r="D12">
        <v>274429.40000000002</v>
      </c>
    </row>
    <row r="13" spans="1:4" x14ac:dyDescent="0.25">
      <c r="A13" t="s">
        <v>40</v>
      </c>
      <c r="B13" t="s">
        <v>24</v>
      </c>
      <c r="C13">
        <v>104494.85</v>
      </c>
      <c r="D13">
        <v>145680.5</v>
      </c>
    </row>
    <row r="14" spans="1:4" x14ac:dyDescent="0.25">
      <c r="A14" t="s">
        <v>40</v>
      </c>
      <c r="B14" t="s">
        <v>23</v>
      </c>
      <c r="C14">
        <v>102385.12</v>
      </c>
      <c r="D14">
        <v>110400.92</v>
      </c>
    </row>
    <row r="15" spans="1:4" x14ac:dyDescent="0.25">
      <c r="A15" t="s">
        <v>40</v>
      </c>
      <c r="B15" t="s">
        <v>22</v>
      </c>
      <c r="C15">
        <v>118653.66</v>
      </c>
      <c r="D15">
        <v>96078.73</v>
      </c>
    </row>
    <row r="16" spans="1:4" x14ac:dyDescent="0.25">
      <c r="A16" t="s">
        <v>40</v>
      </c>
      <c r="B16" t="s">
        <v>21</v>
      </c>
      <c r="C16">
        <v>114674.01</v>
      </c>
      <c r="D16">
        <v>76301.490000000005</v>
      </c>
    </row>
    <row r="17" spans="1:4" x14ac:dyDescent="0.25">
      <c r="A17" t="s">
        <v>40</v>
      </c>
      <c r="B17" t="s">
        <v>20</v>
      </c>
      <c r="C17">
        <v>107226.41</v>
      </c>
      <c r="D17">
        <v>70304.53</v>
      </c>
    </row>
    <row r="18" spans="1:4" x14ac:dyDescent="0.25">
      <c r="A18" t="s">
        <v>40</v>
      </c>
      <c r="B18" t="s">
        <v>19</v>
      </c>
      <c r="C18">
        <v>117152.96000000001</v>
      </c>
      <c r="D18">
        <v>77880.02</v>
      </c>
    </row>
    <row r="19" spans="1:4" x14ac:dyDescent="0.25">
      <c r="A19" t="s">
        <v>40</v>
      </c>
      <c r="B19" t="s">
        <v>18</v>
      </c>
      <c r="C19">
        <v>118426.37</v>
      </c>
      <c r="D19">
        <v>99240.65</v>
      </c>
    </row>
    <row r="20" spans="1:4" x14ac:dyDescent="0.25">
      <c r="A20" t="s">
        <v>40</v>
      </c>
      <c r="B20" t="s">
        <v>17</v>
      </c>
      <c r="C20">
        <v>110577.07</v>
      </c>
      <c r="D20">
        <v>146708.04999999999</v>
      </c>
    </row>
    <row r="21" spans="1:4" x14ac:dyDescent="0.25">
      <c r="A21" t="s">
        <v>40</v>
      </c>
      <c r="B21" t="s">
        <v>16</v>
      </c>
      <c r="C21">
        <v>116908.78</v>
      </c>
      <c r="D21">
        <v>226593.63</v>
      </c>
    </row>
    <row r="22" spans="1:4" x14ac:dyDescent="0.25">
      <c r="A22" t="s">
        <v>40</v>
      </c>
      <c r="B22" t="s">
        <v>15</v>
      </c>
      <c r="C22">
        <v>114783.26</v>
      </c>
      <c r="D22">
        <v>349514.94</v>
      </c>
    </row>
    <row r="23" spans="1:4" x14ac:dyDescent="0.25">
      <c r="A23" t="s">
        <v>40</v>
      </c>
      <c r="B23" t="s">
        <v>14</v>
      </c>
      <c r="C23">
        <v>118932.4</v>
      </c>
      <c r="D23">
        <v>354778.82</v>
      </c>
    </row>
    <row r="24" spans="1:4" x14ac:dyDescent="0.25">
      <c r="A24" t="s">
        <v>40</v>
      </c>
      <c r="B24" t="s">
        <v>13</v>
      </c>
      <c r="C24">
        <v>107581.49</v>
      </c>
      <c r="D24">
        <v>252663.67</v>
      </c>
    </row>
    <row r="25" spans="1:4" x14ac:dyDescent="0.25">
      <c r="A25" t="s">
        <v>40</v>
      </c>
      <c r="B25" t="s">
        <v>12</v>
      </c>
      <c r="C25">
        <v>112054.07</v>
      </c>
      <c r="D25">
        <v>149682.94</v>
      </c>
    </row>
    <row r="26" spans="1:4" x14ac:dyDescent="0.25">
      <c r="A26" t="s">
        <v>40</v>
      </c>
      <c r="B26" t="s">
        <v>11</v>
      </c>
      <c r="C26">
        <v>103137.55</v>
      </c>
      <c r="D26">
        <v>104561.60000000001</v>
      </c>
    </row>
    <row r="27" spans="1:4" x14ac:dyDescent="0.25">
      <c r="A27" t="s">
        <v>40</v>
      </c>
      <c r="B27" t="s">
        <v>10</v>
      </c>
      <c r="C27">
        <v>97620.53</v>
      </c>
      <c r="D27">
        <v>77661.22</v>
      </c>
    </row>
    <row r="28" spans="1:4" x14ac:dyDescent="0.25">
      <c r="A28" t="s">
        <v>40</v>
      </c>
      <c r="B28" t="s">
        <v>9</v>
      </c>
      <c r="C28">
        <v>114688.24</v>
      </c>
      <c r="D28">
        <v>66549.59</v>
      </c>
    </row>
    <row r="29" spans="1:4" x14ac:dyDescent="0.25">
      <c r="A29" t="s">
        <v>40</v>
      </c>
      <c r="B29" t="s">
        <v>8</v>
      </c>
      <c r="C29">
        <v>99701.15</v>
      </c>
      <c r="D29">
        <v>68768.55</v>
      </c>
    </row>
    <row r="30" spans="1:4" x14ac:dyDescent="0.25">
      <c r="A30" t="s">
        <v>40</v>
      </c>
      <c r="B30" t="s">
        <v>7</v>
      </c>
      <c r="C30">
        <v>113554.69</v>
      </c>
      <c r="D30">
        <v>64572.77</v>
      </c>
    </row>
    <row r="31" spans="1:4" x14ac:dyDescent="0.25">
      <c r="A31" t="s">
        <v>40</v>
      </c>
      <c r="B31" t="s">
        <v>6</v>
      </c>
      <c r="C31">
        <v>110385</v>
      </c>
      <c r="D31">
        <v>78482.78</v>
      </c>
    </row>
    <row r="32" spans="1:4" x14ac:dyDescent="0.25">
      <c r="A32" t="s">
        <v>40</v>
      </c>
      <c r="B32" t="s">
        <v>5</v>
      </c>
      <c r="C32">
        <v>98076.94</v>
      </c>
      <c r="D32">
        <v>137786.60999999999</v>
      </c>
    </row>
    <row r="33" spans="1:4" x14ac:dyDescent="0.25">
      <c r="A33" t="s">
        <v>40</v>
      </c>
      <c r="B33" t="s">
        <v>4</v>
      </c>
      <c r="C33">
        <v>108612.61</v>
      </c>
      <c r="D33">
        <v>211037.32</v>
      </c>
    </row>
    <row r="34" spans="1:4" x14ac:dyDescent="0.25">
      <c r="A34" t="s">
        <v>40</v>
      </c>
      <c r="B34" t="s">
        <v>3</v>
      </c>
      <c r="C34">
        <v>112608.71</v>
      </c>
      <c r="D34">
        <v>337408.73</v>
      </c>
    </row>
    <row r="35" spans="1:4" x14ac:dyDescent="0.25">
      <c r="A35" t="s">
        <v>40</v>
      </c>
      <c r="B35" t="s">
        <v>2</v>
      </c>
      <c r="C35">
        <v>108088.26</v>
      </c>
      <c r="D35">
        <v>330198.76</v>
      </c>
    </row>
    <row r="36" spans="1:4" x14ac:dyDescent="0.25">
      <c r="A36" t="s">
        <v>40</v>
      </c>
      <c r="B36" t="s">
        <v>1</v>
      </c>
      <c r="C36">
        <v>114097.53</v>
      </c>
      <c r="D36">
        <v>244972.6</v>
      </c>
    </row>
    <row r="37" spans="1:4" x14ac:dyDescent="0.25">
      <c r="A37" t="s">
        <v>40</v>
      </c>
      <c r="B37" t="s">
        <v>0</v>
      </c>
      <c r="C37">
        <v>106422.02</v>
      </c>
      <c r="D37">
        <v>141056.69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306E-D242-445E-B109-A960988B2126}">
  <sheetPr>
    <tabColor theme="9" tint="0.39997558519241921"/>
    <pageSetUpPr fitToPage="1"/>
  </sheetPr>
  <dimension ref="A1:X160"/>
  <sheetViews>
    <sheetView topLeftCell="A20" zoomScaleNormal="100" workbookViewId="0">
      <selection activeCell="D42" sqref="D42"/>
    </sheetView>
  </sheetViews>
  <sheetFormatPr defaultColWidth="11.28515625" defaultRowHeight="12.75" x14ac:dyDescent="0.2"/>
  <cols>
    <col min="1" max="1" width="16.5703125" style="16" customWidth="1"/>
    <col min="2" max="2" width="31.5703125" style="16" customWidth="1"/>
    <col min="3" max="3" width="14.5703125" style="16" customWidth="1"/>
    <col min="4" max="4" width="13" style="16" customWidth="1"/>
    <col min="5" max="5" width="21.7109375" style="16" bestFit="1" customWidth="1"/>
    <col min="6" max="6" width="21.5703125" style="16" bestFit="1" customWidth="1"/>
    <col min="7" max="7" width="22" style="16" bestFit="1" customWidth="1"/>
    <col min="8" max="8" width="41.5703125" style="16" customWidth="1"/>
    <col min="9" max="19" width="13.42578125" style="16" customWidth="1"/>
    <col min="20" max="24" width="11.28515625" style="16"/>
    <col min="25" max="16384" width="11.28515625" style="17"/>
  </cols>
  <sheetData>
    <row r="1" spans="1:24" s="14" customFormat="1" ht="11.25" x14ac:dyDescent="0.2">
      <c r="A1" s="14" t="s">
        <v>58</v>
      </c>
    </row>
    <row r="2" spans="1:24" ht="21" x14ac:dyDescent="0.35">
      <c r="A2" s="15" t="s">
        <v>59</v>
      </c>
      <c r="B2" s="15"/>
      <c r="C2" s="15"/>
      <c r="D2" s="15"/>
      <c r="E2" s="15"/>
      <c r="F2" s="15"/>
    </row>
    <row r="3" spans="1:24" x14ac:dyDescent="0.2">
      <c r="A3" s="18" t="s">
        <v>60</v>
      </c>
    </row>
    <row r="4" spans="1:24" s="21" customFormat="1" ht="7.5" thickBot="1" x14ac:dyDescent="0.2">
      <c r="A4" s="19"/>
      <c r="B4" s="19"/>
      <c r="C4" s="19"/>
      <c r="D4" s="19"/>
      <c r="E4" s="19"/>
      <c r="F4" s="20"/>
      <c r="G4" s="20"/>
      <c r="H4" s="20"/>
      <c r="I4" s="19"/>
      <c r="J4" s="19"/>
      <c r="K4" s="19"/>
      <c r="L4" s="19"/>
      <c r="M4" s="19"/>
      <c r="N4" s="19"/>
      <c r="O4" s="19"/>
      <c r="P4" s="19"/>
      <c r="Q4" s="19"/>
      <c r="R4" s="19"/>
      <c r="S4" s="19"/>
      <c r="T4" s="19"/>
      <c r="U4" s="19"/>
      <c r="V4" s="19"/>
      <c r="W4" s="19"/>
      <c r="X4" s="19"/>
    </row>
    <row r="5" spans="1:24" ht="31.35" customHeight="1" thickTop="1" x14ac:dyDescent="0.2">
      <c r="A5" s="22" t="s">
        <v>61</v>
      </c>
      <c r="B5" s="23" t="s">
        <v>59</v>
      </c>
      <c r="C5" s="22" t="s">
        <v>62</v>
      </c>
      <c r="D5" s="24">
        <v>45453</v>
      </c>
      <c r="E5" s="25" t="s">
        <v>63</v>
      </c>
      <c r="F5" s="24" t="s">
        <v>64</v>
      </c>
    </row>
    <row r="6" spans="1:24" ht="14.25" thickBot="1" x14ac:dyDescent="0.3">
      <c r="A6" s="26" t="s">
        <v>65</v>
      </c>
      <c r="B6" s="27" t="s">
        <v>66</v>
      </c>
      <c r="C6" s="28" t="s">
        <v>67</v>
      </c>
      <c r="D6" s="29">
        <v>1.1000000000000001</v>
      </c>
      <c r="E6" s="28" t="s">
        <v>68</v>
      </c>
      <c r="F6" s="30">
        <v>2023</v>
      </c>
    </row>
    <row r="7" spans="1:24" ht="14.25" thickTop="1" thickBot="1" x14ac:dyDescent="0.25"/>
    <row r="8" spans="1:24" ht="16.5" thickTop="1" thickBot="1" x14ac:dyDescent="0.3">
      <c r="A8" s="132" t="s">
        <v>69</v>
      </c>
      <c r="B8" s="133"/>
      <c r="C8" s="133"/>
      <c r="D8" s="133"/>
      <c r="E8" s="133"/>
      <c r="F8" s="133"/>
      <c r="G8" s="133"/>
      <c r="H8" s="133"/>
      <c r="I8" s="133"/>
      <c r="J8" s="133"/>
      <c r="K8" s="133"/>
      <c r="L8" s="134"/>
      <c r="M8" s="31"/>
    </row>
    <row r="9" spans="1:24" ht="15.75" thickTop="1" x14ac:dyDescent="0.25">
      <c r="A9" s="32"/>
      <c r="B9" s="32"/>
      <c r="C9" s="32"/>
      <c r="D9" s="32"/>
      <c r="E9" s="32"/>
      <c r="F9" s="32"/>
      <c r="G9" s="32"/>
      <c r="H9" s="33"/>
      <c r="I9" s="33"/>
      <c r="J9" s="33"/>
      <c r="K9" s="33"/>
      <c r="L9" s="33"/>
      <c r="M9" s="31"/>
    </row>
    <row r="10" spans="1:24" ht="15.75" x14ac:dyDescent="0.25">
      <c r="A10" s="135" t="s">
        <v>70</v>
      </c>
      <c r="B10" s="135"/>
      <c r="C10" s="135"/>
      <c r="D10" s="135"/>
      <c r="E10" s="135"/>
      <c r="F10" s="135"/>
      <c r="G10" s="135"/>
      <c r="H10" s="135"/>
      <c r="I10" s="135"/>
      <c r="J10" s="135"/>
      <c r="K10" s="135"/>
      <c r="L10" s="135"/>
      <c r="M10" s="31"/>
    </row>
    <row r="11" spans="1:24" ht="20.25" customHeight="1" x14ac:dyDescent="0.2">
      <c r="A11" s="105" t="s">
        <v>71</v>
      </c>
      <c r="B11" s="105"/>
      <c r="C11" s="105"/>
      <c r="D11" s="105"/>
      <c r="E11" s="105"/>
      <c r="F11" s="105"/>
      <c r="G11" s="105"/>
      <c r="H11" s="105"/>
      <c r="I11" s="105"/>
      <c r="J11" s="105"/>
      <c r="K11" s="105"/>
      <c r="L11" s="105"/>
      <c r="M11" s="34"/>
    </row>
    <row r="12" spans="1:24" ht="96.75" customHeight="1" x14ac:dyDescent="0.2">
      <c r="A12" s="105" t="s">
        <v>72</v>
      </c>
      <c r="B12" s="105"/>
      <c r="C12" s="105"/>
      <c r="D12" s="105"/>
      <c r="E12" s="105"/>
      <c r="F12" s="105"/>
      <c r="G12" s="105"/>
      <c r="H12" s="105"/>
      <c r="I12" s="105"/>
      <c r="J12" s="105"/>
      <c r="K12" s="105"/>
      <c r="L12" s="105"/>
      <c r="M12" s="136"/>
      <c r="N12" s="137"/>
      <c r="O12" s="137"/>
      <c r="P12" s="137"/>
      <c r="Q12" s="137"/>
      <c r="R12" s="137"/>
      <c r="S12" s="137"/>
      <c r="T12" s="137"/>
      <c r="U12" s="137"/>
      <c r="V12" s="137"/>
      <c r="W12" s="137"/>
      <c r="X12" s="137"/>
    </row>
    <row r="13" spans="1:24" ht="63.75" customHeight="1" x14ac:dyDescent="0.2">
      <c r="A13" s="105" t="s">
        <v>73</v>
      </c>
      <c r="B13" s="105"/>
      <c r="C13" s="105"/>
      <c r="D13" s="105"/>
      <c r="E13" s="105"/>
      <c r="F13" s="105"/>
      <c r="G13" s="105"/>
      <c r="H13" s="105"/>
      <c r="I13" s="105"/>
      <c r="J13" s="105"/>
      <c r="K13" s="105"/>
      <c r="L13" s="105"/>
      <c r="M13" s="34"/>
    </row>
    <row r="14" spans="1:24" ht="15.75" x14ac:dyDescent="0.25">
      <c r="A14" s="130" t="s">
        <v>74</v>
      </c>
      <c r="B14" s="131"/>
      <c r="C14" s="131"/>
      <c r="D14" s="131"/>
      <c r="E14" s="131"/>
      <c r="F14" s="131"/>
      <c r="G14" s="131"/>
      <c r="H14" s="131"/>
      <c r="I14" s="131"/>
      <c r="J14" s="131"/>
      <c r="K14" s="131"/>
      <c r="L14" s="131"/>
      <c r="M14" s="31"/>
    </row>
    <row r="15" spans="1:24" ht="15" customHeight="1" x14ac:dyDescent="0.25">
      <c r="A15" s="105" t="s">
        <v>75</v>
      </c>
      <c r="B15" s="105"/>
      <c r="C15" s="105"/>
      <c r="D15" s="105"/>
      <c r="E15" s="105"/>
      <c r="F15" s="105"/>
      <c r="G15" s="105"/>
      <c r="H15" s="105"/>
      <c r="I15" s="105"/>
      <c r="J15" s="105"/>
      <c r="K15" s="105"/>
      <c r="L15" s="105"/>
      <c r="M15" s="31"/>
    </row>
    <row r="16" spans="1:24" ht="22.35" customHeight="1" x14ac:dyDescent="0.25">
      <c r="A16" s="105" t="s">
        <v>76</v>
      </c>
      <c r="B16" s="105"/>
      <c r="C16" s="105"/>
      <c r="D16" s="105"/>
      <c r="E16" s="105"/>
      <c r="F16" s="105"/>
      <c r="G16" s="105"/>
      <c r="H16" s="105"/>
      <c r="I16" s="105"/>
      <c r="J16" s="105"/>
      <c r="K16" s="105"/>
      <c r="L16" s="105"/>
      <c r="M16" s="31"/>
    </row>
    <row r="17" spans="1:13" s="16" customFormat="1" ht="45" customHeight="1" x14ac:dyDescent="0.25">
      <c r="A17" s="105" t="s">
        <v>77</v>
      </c>
      <c r="B17" s="105"/>
      <c r="C17" s="105"/>
      <c r="D17" s="105"/>
      <c r="E17" s="105"/>
      <c r="F17" s="105"/>
      <c r="G17" s="105"/>
      <c r="H17" s="105"/>
      <c r="I17" s="105"/>
      <c r="J17" s="105"/>
      <c r="K17" s="105"/>
      <c r="L17" s="105"/>
      <c r="M17" s="31"/>
    </row>
    <row r="18" spans="1:13" s="16" customFormat="1" ht="39" customHeight="1" x14ac:dyDescent="0.25">
      <c r="A18" s="105" t="s">
        <v>78</v>
      </c>
      <c r="B18" s="105"/>
      <c r="C18" s="105"/>
      <c r="D18" s="105"/>
      <c r="E18" s="105"/>
      <c r="F18" s="105"/>
      <c r="G18" s="105"/>
      <c r="H18" s="105"/>
      <c r="I18" s="105"/>
      <c r="J18" s="105"/>
      <c r="K18" s="105"/>
      <c r="L18" s="105"/>
      <c r="M18" s="31"/>
    </row>
    <row r="19" spans="1:13" s="16" customFormat="1" ht="51.75" customHeight="1" x14ac:dyDescent="0.25">
      <c r="A19" s="105" t="s">
        <v>79</v>
      </c>
      <c r="B19" s="105"/>
      <c r="C19" s="105"/>
      <c r="D19" s="105"/>
      <c r="E19" s="105"/>
      <c r="F19" s="105"/>
      <c r="G19" s="105"/>
      <c r="H19" s="105"/>
      <c r="I19" s="105"/>
      <c r="J19" s="105"/>
      <c r="K19" s="105"/>
      <c r="L19" s="105"/>
      <c r="M19" s="31"/>
    </row>
    <row r="20" spans="1:13" s="16" customFormat="1" ht="32.25" customHeight="1" x14ac:dyDescent="0.25">
      <c r="A20" s="126" t="s">
        <v>80</v>
      </c>
      <c r="B20" s="126"/>
      <c r="C20" s="126"/>
      <c r="D20" s="126"/>
      <c r="E20" s="126"/>
      <c r="F20" s="126"/>
      <c r="G20" s="126"/>
      <c r="H20" s="126"/>
      <c r="I20" s="126"/>
      <c r="J20" s="126"/>
      <c r="K20" s="126"/>
      <c r="L20" s="126"/>
      <c r="M20" s="31"/>
    </row>
    <row r="21" spans="1:13" s="16" customFormat="1" ht="15" x14ac:dyDescent="0.25">
      <c r="A21" s="33"/>
      <c r="B21" s="33"/>
      <c r="C21" s="33"/>
      <c r="D21" s="33"/>
      <c r="E21" s="33"/>
      <c r="F21" s="33"/>
      <c r="G21" s="33"/>
      <c r="H21" s="33"/>
      <c r="I21" s="33"/>
      <c r="J21" s="33"/>
      <c r="K21" s="33"/>
      <c r="L21" s="33"/>
      <c r="M21" s="31"/>
    </row>
    <row r="22" spans="1:13" s="16" customFormat="1" ht="18" customHeight="1" x14ac:dyDescent="0.35">
      <c r="A22" s="35" t="s">
        <v>81</v>
      </c>
      <c r="B22" s="35" t="s">
        <v>82</v>
      </c>
      <c r="C22" s="35" t="s">
        <v>83</v>
      </c>
      <c r="D22" s="36" t="s">
        <v>84</v>
      </c>
      <c r="E22" s="36" t="s">
        <v>85</v>
      </c>
      <c r="F22" s="37" t="s">
        <v>86</v>
      </c>
      <c r="G22" s="37" t="s">
        <v>87</v>
      </c>
      <c r="H22" s="38"/>
      <c r="I22" s="33"/>
      <c r="J22" s="33"/>
      <c r="K22" s="33"/>
      <c r="L22" s="33"/>
      <c r="M22" s="31"/>
    </row>
    <row r="23" spans="1:13" s="16" customFormat="1" ht="15" x14ac:dyDescent="0.25">
      <c r="A23" s="127" t="s">
        <v>88</v>
      </c>
      <c r="B23" s="123" t="s">
        <v>89</v>
      </c>
      <c r="C23" s="36" t="s">
        <v>90</v>
      </c>
      <c r="D23" s="39">
        <v>3033.3806711409397</v>
      </c>
      <c r="E23" s="39">
        <v>3029.26</v>
      </c>
      <c r="F23" s="39">
        <v>2.5200000000000005</v>
      </c>
      <c r="G23" s="39">
        <v>1.6006711409395973</v>
      </c>
      <c r="H23" s="40"/>
      <c r="I23" s="33"/>
      <c r="J23" s="33"/>
      <c r="K23" s="33"/>
      <c r="L23" s="33"/>
      <c r="M23" s="31"/>
    </row>
    <row r="24" spans="1:13" s="16" customFormat="1" ht="15" x14ac:dyDescent="0.25">
      <c r="A24" s="128"/>
      <c r="B24" s="124" t="s">
        <v>89</v>
      </c>
      <c r="C24" s="36" t="s">
        <v>91</v>
      </c>
      <c r="D24" s="39">
        <v>1.7453296322147651</v>
      </c>
      <c r="E24" s="39">
        <v>1.7429600000000001</v>
      </c>
      <c r="F24" s="39">
        <v>1.4448E-3</v>
      </c>
      <c r="G24" s="39">
        <v>9.2483221476510056E-4</v>
      </c>
      <c r="H24" s="40"/>
      <c r="I24" s="41"/>
      <c r="J24" s="33"/>
      <c r="K24" s="33"/>
      <c r="L24" s="33"/>
      <c r="M24" s="31"/>
    </row>
    <row r="25" spans="1:13" s="16" customFormat="1" ht="15" x14ac:dyDescent="0.25">
      <c r="A25" s="128"/>
      <c r="B25" s="124" t="s">
        <v>89</v>
      </c>
      <c r="C25" s="36" t="s">
        <v>92</v>
      </c>
      <c r="D25" s="39">
        <v>0.24106609664429532</v>
      </c>
      <c r="E25" s="39">
        <v>0.24074000000000001</v>
      </c>
      <c r="F25" s="39">
        <v>2.0160000000000002E-4</v>
      </c>
      <c r="G25" s="39">
        <v>1.2449664429530201E-4</v>
      </c>
      <c r="H25" s="40"/>
      <c r="I25" s="33"/>
      <c r="J25" s="33"/>
      <c r="K25" s="33"/>
      <c r="L25" s="33"/>
      <c r="M25" s="31"/>
    </row>
    <row r="26" spans="1:13" s="16" customFormat="1" ht="15" x14ac:dyDescent="0.25">
      <c r="A26" s="128"/>
      <c r="B26" s="125" t="s">
        <v>89</v>
      </c>
      <c r="C26" s="36" t="s">
        <v>93</v>
      </c>
      <c r="D26" s="39">
        <v>0.22240600402684563</v>
      </c>
      <c r="E26" s="39">
        <v>0.22209999999999999</v>
      </c>
      <c r="F26" s="39">
        <v>1.9040000000000002E-4</v>
      </c>
      <c r="G26" s="39">
        <v>1.1560402684563757E-4</v>
      </c>
      <c r="H26" s="40"/>
      <c r="I26" s="33"/>
      <c r="J26" s="33"/>
      <c r="K26" s="33"/>
      <c r="L26" s="33"/>
      <c r="M26" s="31"/>
    </row>
    <row r="27" spans="1:13" s="16" customFormat="1" ht="15" x14ac:dyDescent="0.25">
      <c r="A27" s="128"/>
      <c r="B27" s="123" t="s">
        <v>94</v>
      </c>
      <c r="C27" s="36" t="s">
        <v>90</v>
      </c>
      <c r="D27" s="39">
        <v>2562.5744107382552</v>
      </c>
      <c r="E27" s="39">
        <v>2557.5300000000002</v>
      </c>
      <c r="F27" s="39">
        <v>3.8528000000000002</v>
      </c>
      <c r="G27" s="39">
        <v>1.1916107382550336</v>
      </c>
      <c r="H27" s="40"/>
    </row>
    <row r="28" spans="1:13" s="16" customFormat="1" ht="15" x14ac:dyDescent="0.25">
      <c r="A28" s="128"/>
      <c r="B28" s="124"/>
      <c r="C28" s="36" t="s">
        <v>91</v>
      </c>
      <c r="D28" s="39">
        <v>0.44844653020134229</v>
      </c>
      <c r="E28" s="42">
        <v>0.44757000000000002</v>
      </c>
      <c r="F28" s="42">
        <v>6.7199999999999996E-4</v>
      </c>
      <c r="G28" s="42">
        <v>2.0453020134228187E-4</v>
      </c>
      <c r="H28" s="40"/>
    </row>
    <row r="29" spans="1:13" s="16" customFormat="1" ht="15" x14ac:dyDescent="0.25">
      <c r="A29" s="128"/>
      <c r="B29" s="124"/>
      <c r="C29" s="36" t="s">
        <v>92</v>
      </c>
      <c r="D29" s="39">
        <v>0.20267141879194631</v>
      </c>
      <c r="E29" s="42">
        <v>0.20226</v>
      </c>
      <c r="F29" s="42">
        <v>3.1359999999999998E-4</v>
      </c>
      <c r="G29" s="42">
        <v>9.7818791946308734E-5</v>
      </c>
      <c r="H29" s="40"/>
    </row>
    <row r="30" spans="1:13" s="16" customFormat="1" ht="15" x14ac:dyDescent="0.25">
      <c r="A30" s="128"/>
      <c r="B30" s="125"/>
      <c r="C30" s="36" t="s">
        <v>93</v>
      </c>
      <c r="D30" s="39">
        <v>0.18292892617449666</v>
      </c>
      <c r="E30" s="42">
        <v>0.18256</v>
      </c>
      <c r="F30" s="42">
        <v>2.8000000000000003E-4</v>
      </c>
      <c r="G30" s="42">
        <v>8.8926174496644302E-5</v>
      </c>
      <c r="H30" s="40"/>
    </row>
    <row r="31" spans="1:13" s="16" customFormat="1" ht="15" x14ac:dyDescent="0.25">
      <c r="A31" s="128"/>
      <c r="B31" s="123" t="s">
        <v>95</v>
      </c>
      <c r="C31" s="36" t="s">
        <v>90</v>
      </c>
      <c r="D31" s="39">
        <v>2581.9844107382551</v>
      </c>
      <c r="E31" s="39">
        <v>2576.94</v>
      </c>
      <c r="F31" s="39">
        <v>3.8528000000000002</v>
      </c>
      <c r="G31" s="39">
        <v>1.1916107382550336</v>
      </c>
      <c r="H31" s="40"/>
    </row>
    <row r="32" spans="1:13" s="16" customFormat="1" ht="15" x14ac:dyDescent="0.25">
      <c r="A32" s="128"/>
      <c r="B32" s="124"/>
      <c r="C32" s="36" t="s">
        <v>91</v>
      </c>
      <c r="D32" s="39">
        <v>1.1683296496644295</v>
      </c>
      <c r="E32" s="42">
        <v>1.16604</v>
      </c>
      <c r="F32" s="42">
        <v>1.7472000000000002E-3</v>
      </c>
      <c r="G32" s="42">
        <v>5.4244966442953014E-4</v>
      </c>
      <c r="H32" s="40"/>
    </row>
    <row r="33" spans="1:8" s="16" customFormat="1" ht="15" x14ac:dyDescent="0.25">
      <c r="A33" s="128"/>
      <c r="B33" s="124"/>
      <c r="C33" s="36" t="s">
        <v>92</v>
      </c>
      <c r="D33" s="39">
        <v>0.20420141879194631</v>
      </c>
      <c r="E33" s="43">
        <v>0.20379</v>
      </c>
      <c r="F33" s="42">
        <v>3.1359999999999998E-4</v>
      </c>
      <c r="G33" s="42">
        <v>9.7818791946308734E-5</v>
      </c>
      <c r="H33" s="40"/>
    </row>
    <row r="34" spans="1:8" s="16" customFormat="1" ht="15" x14ac:dyDescent="0.25">
      <c r="A34" s="128"/>
      <c r="B34" s="125"/>
      <c r="C34" s="36" t="s">
        <v>93</v>
      </c>
      <c r="D34" s="39">
        <v>0.18431892617449666</v>
      </c>
      <c r="E34" s="42">
        <v>0.18395</v>
      </c>
      <c r="F34" s="42">
        <v>2.8000000000000003E-4</v>
      </c>
      <c r="G34" s="42">
        <v>8.8926174496644302E-5</v>
      </c>
      <c r="H34" s="40"/>
    </row>
    <row r="35" spans="1:8" s="16" customFormat="1" ht="15" x14ac:dyDescent="0.25">
      <c r="A35" s="128"/>
      <c r="B35" s="123" t="s">
        <v>96</v>
      </c>
      <c r="C35" s="36" t="s">
        <v>90</v>
      </c>
      <c r="D35" s="39">
        <v>2939.3609489932887</v>
      </c>
      <c r="E35" s="39">
        <v>2935.18</v>
      </c>
      <c r="F35" s="39">
        <v>2.5535999999999999</v>
      </c>
      <c r="G35" s="39">
        <v>1.6273489932885907</v>
      </c>
      <c r="H35" s="40"/>
    </row>
    <row r="36" spans="1:8" s="16" customFormat="1" ht="15" x14ac:dyDescent="0.25">
      <c r="A36" s="128"/>
      <c r="B36" s="124"/>
      <c r="C36" s="36" t="s">
        <v>91</v>
      </c>
      <c r="D36" s="39">
        <v>1.5571277838926174</v>
      </c>
      <c r="E36" s="42">
        <v>1.55491</v>
      </c>
      <c r="F36" s="42">
        <v>1.3552E-3</v>
      </c>
      <c r="G36" s="42">
        <v>8.6258389261744967E-4</v>
      </c>
      <c r="H36" s="40"/>
    </row>
    <row r="37" spans="1:8" s="16" customFormat="1" ht="15" x14ac:dyDescent="0.25">
      <c r="A37" s="128"/>
      <c r="B37" s="124"/>
      <c r="C37" s="36" t="s">
        <v>92</v>
      </c>
      <c r="D37" s="39">
        <v>0.23031609664429531</v>
      </c>
      <c r="E37" s="42">
        <v>0.22999</v>
      </c>
      <c r="F37" s="42">
        <v>2.0160000000000002E-4</v>
      </c>
      <c r="G37" s="42">
        <v>1.2449664429530201E-4</v>
      </c>
      <c r="H37" s="40"/>
    </row>
    <row r="38" spans="1:8" s="16" customFormat="1" ht="15" x14ac:dyDescent="0.25">
      <c r="A38" s="128"/>
      <c r="B38" s="125"/>
      <c r="C38" s="36" t="s">
        <v>93</v>
      </c>
      <c r="D38" s="39">
        <v>0.21449600402684563</v>
      </c>
      <c r="E38" s="42">
        <v>0.21418999999999999</v>
      </c>
      <c r="F38" s="42">
        <v>1.9040000000000002E-4</v>
      </c>
      <c r="G38" s="42">
        <v>1.1560402684563757E-4</v>
      </c>
      <c r="H38" s="40"/>
    </row>
    <row r="39" spans="1:8" s="16" customFormat="1" ht="15" x14ac:dyDescent="0.25">
      <c r="A39" s="128"/>
      <c r="B39" s="123" t="s">
        <v>97</v>
      </c>
      <c r="C39" s="36" t="s">
        <v>90</v>
      </c>
      <c r="D39" s="39">
        <v>2562.5744107382552</v>
      </c>
      <c r="E39" s="39">
        <v>2557.5300000000002</v>
      </c>
      <c r="F39" s="39">
        <v>3.8528000000000002</v>
      </c>
      <c r="G39" s="39">
        <v>1.1916107382550336</v>
      </c>
      <c r="H39" s="40"/>
    </row>
    <row r="40" spans="1:8" s="16" customFormat="1" ht="15" x14ac:dyDescent="0.25">
      <c r="A40" s="128"/>
      <c r="B40" s="124"/>
      <c r="C40" s="36" t="s">
        <v>98</v>
      </c>
      <c r="D40" s="39">
        <v>2.0383903100671139</v>
      </c>
      <c r="E40" s="42">
        <v>2.03437</v>
      </c>
      <c r="F40" s="42">
        <v>3.0688E-3</v>
      </c>
      <c r="G40" s="42">
        <v>9.5151006711409393E-4</v>
      </c>
      <c r="H40" s="40"/>
    </row>
    <row r="41" spans="1:8" s="16" customFormat="1" ht="15" x14ac:dyDescent="0.25">
      <c r="A41" s="128"/>
      <c r="B41" s="124"/>
      <c r="C41" s="36" t="s">
        <v>92</v>
      </c>
      <c r="D41" s="39">
        <v>0.20267141879194631</v>
      </c>
      <c r="E41" s="42">
        <v>0.20226</v>
      </c>
      <c r="F41" s="42">
        <v>3.1359999999999998E-4</v>
      </c>
      <c r="G41" s="42">
        <v>9.7818791946308734E-5</v>
      </c>
      <c r="H41" s="40"/>
    </row>
    <row r="42" spans="1:8" s="16" customFormat="1" ht="15" x14ac:dyDescent="0.25">
      <c r="A42" s="128"/>
      <c r="B42" s="125"/>
      <c r="C42" s="36" t="s">
        <v>93</v>
      </c>
      <c r="D42" s="93">
        <v>0.18292892617449666</v>
      </c>
      <c r="E42" s="42">
        <v>0.18256</v>
      </c>
      <c r="F42" s="42">
        <v>2.8000000000000003E-4</v>
      </c>
      <c r="G42" s="42">
        <v>8.8926174496644302E-5</v>
      </c>
      <c r="H42" s="40"/>
    </row>
    <row r="43" spans="1:8" s="16" customFormat="1" ht="15" x14ac:dyDescent="0.25">
      <c r="A43" s="128"/>
      <c r="B43" s="123" t="s">
        <v>99</v>
      </c>
      <c r="C43" s="36" t="s">
        <v>90</v>
      </c>
      <c r="D43" s="39">
        <v>2581.9844107382551</v>
      </c>
      <c r="E43" s="39">
        <v>2576.94</v>
      </c>
      <c r="F43" s="39">
        <v>3.8528000000000002</v>
      </c>
      <c r="G43" s="39">
        <v>1.1916107382550336</v>
      </c>
      <c r="H43" s="40"/>
    </row>
    <row r="44" spans="1:8" s="16" customFormat="1" ht="15" x14ac:dyDescent="0.25">
      <c r="A44" s="128"/>
      <c r="B44" s="124"/>
      <c r="C44" s="36" t="s">
        <v>98</v>
      </c>
      <c r="D44" s="39">
        <v>2.0538303100671138</v>
      </c>
      <c r="E44" s="42">
        <v>2.0498099999999999</v>
      </c>
      <c r="F44" s="42">
        <v>3.0688E-3</v>
      </c>
      <c r="G44" s="42">
        <v>9.5151006711409393E-4</v>
      </c>
      <c r="H44" s="40"/>
    </row>
    <row r="45" spans="1:8" s="16" customFormat="1" ht="15" x14ac:dyDescent="0.25">
      <c r="A45" s="128"/>
      <c r="B45" s="124"/>
      <c r="C45" s="36" t="s">
        <v>92</v>
      </c>
      <c r="D45" s="39">
        <v>0.20420141879194631</v>
      </c>
      <c r="E45" s="42">
        <v>0.20379</v>
      </c>
      <c r="F45" s="42">
        <v>3.1359999999999998E-4</v>
      </c>
      <c r="G45" s="42">
        <v>9.7818791946308734E-5</v>
      </c>
      <c r="H45" s="40"/>
    </row>
    <row r="46" spans="1:8" s="16" customFormat="1" ht="15" x14ac:dyDescent="0.25">
      <c r="A46" s="128"/>
      <c r="B46" s="125"/>
      <c r="C46" s="36" t="s">
        <v>93</v>
      </c>
      <c r="D46" s="39">
        <v>0.18431892617449666</v>
      </c>
      <c r="E46" s="42">
        <v>0.18395</v>
      </c>
      <c r="F46" s="42">
        <v>2.8000000000000003E-4</v>
      </c>
      <c r="G46" s="42">
        <v>8.8926174496644302E-5</v>
      </c>
      <c r="H46" s="40"/>
    </row>
    <row r="47" spans="1:8" s="16" customFormat="1" ht="15" x14ac:dyDescent="0.25">
      <c r="A47" s="128"/>
      <c r="B47" s="123" t="s">
        <v>100</v>
      </c>
      <c r="C47" s="36" t="s">
        <v>90</v>
      </c>
      <c r="D47" s="39">
        <v>2578.246473825503</v>
      </c>
      <c r="E47" s="39">
        <v>2575.6999999999998</v>
      </c>
      <c r="F47" s="39">
        <v>1.3104</v>
      </c>
      <c r="G47" s="39">
        <v>1.2360738255033556</v>
      </c>
      <c r="H47" s="40"/>
    </row>
    <row r="48" spans="1:8" s="16" customFormat="1" ht="15" x14ac:dyDescent="0.25">
      <c r="A48" s="128"/>
      <c r="B48" s="124"/>
      <c r="C48" s="36" t="s">
        <v>91</v>
      </c>
      <c r="D48" s="39">
        <v>0.94441512348993284</v>
      </c>
      <c r="E48" s="42">
        <v>0.94347999999999999</v>
      </c>
      <c r="F48" s="42">
        <v>4.8160000000000005E-4</v>
      </c>
      <c r="G48" s="42">
        <v>4.5352348993288593E-4</v>
      </c>
      <c r="H48" s="40"/>
    </row>
    <row r="49" spans="1:8" s="16" customFormat="1" ht="15" x14ac:dyDescent="0.25">
      <c r="A49" s="128"/>
      <c r="B49" s="124"/>
      <c r="C49" s="36" t="s">
        <v>92</v>
      </c>
      <c r="D49" s="39">
        <v>0.19916861879194633</v>
      </c>
      <c r="E49" s="42">
        <v>0.19897000000000001</v>
      </c>
      <c r="F49" s="42">
        <v>1.0080000000000001E-4</v>
      </c>
      <c r="G49" s="42">
        <v>9.7818791946308734E-5</v>
      </c>
      <c r="H49" s="40"/>
    </row>
    <row r="50" spans="1:8" s="16" customFormat="1" ht="15" x14ac:dyDescent="0.25">
      <c r="A50" s="128"/>
      <c r="B50" s="125"/>
      <c r="C50" s="36" t="s">
        <v>93</v>
      </c>
      <c r="D50" s="39">
        <v>0.18322852617449664</v>
      </c>
      <c r="E50" s="42">
        <v>0.18304999999999999</v>
      </c>
      <c r="F50" s="42">
        <v>8.9600000000000009E-5</v>
      </c>
      <c r="G50" s="42">
        <v>8.8926174496644302E-5</v>
      </c>
      <c r="H50" s="40"/>
    </row>
    <row r="51" spans="1:8" s="16" customFormat="1" ht="15" x14ac:dyDescent="0.25">
      <c r="A51" s="128"/>
      <c r="B51" s="123" t="s">
        <v>101</v>
      </c>
      <c r="C51" s="36" t="s">
        <v>90</v>
      </c>
      <c r="D51" s="39">
        <v>2997.632334228188</v>
      </c>
      <c r="E51" s="42">
        <v>2993.4</v>
      </c>
      <c r="F51" s="42">
        <v>2.5872000000000002</v>
      </c>
      <c r="G51" s="42">
        <v>1.6451342281879195</v>
      </c>
      <c r="H51" s="40"/>
    </row>
    <row r="52" spans="1:8" s="16" customFormat="1" ht="15" x14ac:dyDescent="0.25">
      <c r="A52" s="128"/>
      <c r="B52" s="124" t="s">
        <v>101</v>
      </c>
      <c r="C52" s="36" t="s">
        <v>91</v>
      </c>
      <c r="D52" s="39">
        <v>1.543577598657718</v>
      </c>
      <c r="E52" s="42">
        <v>1.5414000000000001</v>
      </c>
      <c r="F52" s="42">
        <v>1.3328000000000003E-3</v>
      </c>
      <c r="G52" s="42">
        <v>8.4479865771812076E-4</v>
      </c>
      <c r="H52" s="40"/>
    </row>
    <row r="53" spans="1:8" s="16" customFormat="1" ht="15" x14ac:dyDescent="0.25">
      <c r="A53" s="128"/>
      <c r="B53" s="124" t="s">
        <v>101</v>
      </c>
      <c r="C53" s="36" t="s">
        <v>92</v>
      </c>
      <c r="D53" s="39">
        <v>0.23257609664429532</v>
      </c>
      <c r="E53" s="42">
        <v>0.23225000000000001</v>
      </c>
      <c r="F53" s="42">
        <v>2.0160000000000002E-4</v>
      </c>
      <c r="G53" s="42">
        <v>1.2449664429530201E-4</v>
      </c>
      <c r="H53" s="40"/>
    </row>
    <row r="54" spans="1:8" s="16" customFormat="1" ht="15" x14ac:dyDescent="0.25">
      <c r="A54" s="129"/>
      <c r="B54" s="125" t="s">
        <v>101</v>
      </c>
      <c r="C54" s="36" t="s">
        <v>93</v>
      </c>
      <c r="D54" s="39">
        <v>0.21410480402684562</v>
      </c>
      <c r="E54" s="42">
        <v>0.21381</v>
      </c>
      <c r="F54" s="42">
        <v>1.7920000000000002E-4</v>
      </c>
      <c r="G54" s="42">
        <v>1.1560402684563757E-4</v>
      </c>
      <c r="H54" s="40"/>
    </row>
    <row r="55" spans="1:8" s="16" customFormat="1" ht="15" x14ac:dyDescent="0.25">
      <c r="A55" s="44"/>
      <c r="B55" s="44"/>
      <c r="C55" s="44"/>
      <c r="D55" s="45"/>
      <c r="E55" s="45"/>
      <c r="F55" s="45"/>
      <c r="G55" s="45"/>
      <c r="H55" s="16" t="s">
        <v>102</v>
      </c>
    </row>
    <row r="56" spans="1:8" s="16" customFormat="1" ht="15" x14ac:dyDescent="0.25">
      <c r="A56" s="44"/>
      <c r="B56" s="44"/>
      <c r="C56" s="44"/>
      <c r="D56" s="45"/>
      <c r="E56" s="45"/>
      <c r="F56" s="45"/>
      <c r="G56" s="45"/>
      <c r="H56" s="16" t="s">
        <v>102</v>
      </c>
    </row>
    <row r="57" spans="1:8" s="16" customFormat="1" ht="15" x14ac:dyDescent="0.25">
      <c r="A57" s="44"/>
      <c r="B57" s="44"/>
      <c r="C57" s="44"/>
      <c r="D57" s="45"/>
      <c r="E57" s="45"/>
      <c r="F57" s="45"/>
      <c r="G57" s="45"/>
      <c r="H57" s="16" t="s">
        <v>102</v>
      </c>
    </row>
    <row r="58" spans="1:8" s="16" customFormat="1" ht="18" customHeight="1" x14ac:dyDescent="0.35">
      <c r="A58" s="35" t="s">
        <v>81</v>
      </c>
      <c r="B58" s="35" t="s">
        <v>82</v>
      </c>
      <c r="C58" s="35" t="s">
        <v>83</v>
      </c>
      <c r="D58" s="36" t="s">
        <v>84</v>
      </c>
      <c r="E58" s="36" t="s">
        <v>85</v>
      </c>
      <c r="F58" s="37" t="s">
        <v>86</v>
      </c>
      <c r="G58" s="37" t="s">
        <v>87</v>
      </c>
    </row>
    <row r="59" spans="1:8" s="16" customFormat="1" ht="15" x14ac:dyDescent="0.25">
      <c r="A59" s="114" t="s">
        <v>103</v>
      </c>
      <c r="B59" s="123" t="s">
        <v>104</v>
      </c>
      <c r="C59" s="36" t="s">
        <v>90</v>
      </c>
      <c r="D59" s="39">
        <v>3193.6948000000002</v>
      </c>
      <c r="E59" s="46">
        <v>3127.67</v>
      </c>
      <c r="F59" s="46">
        <v>39.524800000000006</v>
      </c>
      <c r="G59" s="46">
        <v>26.5</v>
      </c>
      <c r="H59" s="40"/>
    </row>
    <row r="60" spans="1:8" s="16" customFormat="1" ht="15" x14ac:dyDescent="0.25">
      <c r="A60" s="115"/>
      <c r="B60" s="124"/>
      <c r="C60" s="36" t="s">
        <v>91</v>
      </c>
      <c r="D60" s="39">
        <v>2.3311626429530206</v>
      </c>
      <c r="E60" s="42">
        <v>2.2829700000000002</v>
      </c>
      <c r="F60" s="42">
        <v>2.8851200000000004E-2</v>
      </c>
      <c r="G60" s="42">
        <v>1.9341442953020132E-2</v>
      </c>
      <c r="H60" s="40"/>
    </row>
    <row r="61" spans="1:8" s="16" customFormat="1" ht="15" x14ac:dyDescent="0.25">
      <c r="A61" s="115"/>
      <c r="B61" s="124"/>
      <c r="C61" s="36" t="s">
        <v>92</v>
      </c>
      <c r="D61" s="39">
        <v>0.25665613557046979</v>
      </c>
      <c r="E61" s="42">
        <v>0.25135000000000002</v>
      </c>
      <c r="F61" s="42">
        <v>3.1808000000000006E-3</v>
      </c>
      <c r="G61" s="42">
        <v>2.1253355704697989E-3</v>
      </c>
      <c r="H61" s="40"/>
    </row>
    <row r="62" spans="1:8" s="16" customFormat="1" ht="15" x14ac:dyDescent="0.25">
      <c r="A62" s="115"/>
      <c r="B62" s="125"/>
      <c r="C62" s="36" t="s">
        <v>93</v>
      </c>
      <c r="D62" s="39">
        <v>0.2438203167785235</v>
      </c>
      <c r="E62" s="42">
        <v>0.23877999999999999</v>
      </c>
      <c r="F62" s="42">
        <v>3.0128000000000004E-3</v>
      </c>
      <c r="G62" s="42">
        <v>2.0275167785234896E-3</v>
      </c>
      <c r="H62" s="40"/>
    </row>
    <row r="63" spans="1:8" s="16" customFormat="1" ht="15" x14ac:dyDescent="0.25">
      <c r="A63" s="115"/>
      <c r="B63" s="123" t="s">
        <v>105</v>
      </c>
      <c r="C63" s="36" t="s">
        <v>90</v>
      </c>
      <c r="D63" s="39">
        <v>3178.3652000000002</v>
      </c>
      <c r="E63" s="46">
        <v>3149.67</v>
      </c>
      <c r="F63" s="46">
        <v>2.1952000000000003</v>
      </c>
      <c r="G63" s="46">
        <v>26.5</v>
      </c>
      <c r="H63" s="40"/>
    </row>
    <row r="64" spans="1:8" s="16" customFormat="1" ht="15" x14ac:dyDescent="0.25">
      <c r="A64" s="115"/>
      <c r="B64" s="124"/>
      <c r="C64" s="36" t="s">
        <v>91</v>
      </c>
      <c r="D64" s="39">
        <v>2.5426883999999998</v>
      </c>
      <c r="E64" s="42">
        <v>2.51973</v>
      </c>
      <c r="F64" s="42">
        <v>1.7584000000000002E-3</v>
      </c>
      <c r="G64" s="42">
        <v>2.12E-2</v>
      </c>
      <c r="H64" s="40"/>
    </row>
    <row r="65" spans="1:8" s="16" customFormat="1" ht="15" x14ac:dyDescent="0.25">
      <c r="A65" s="115"/>
      <c r="B65" s="124"/>
      <c r="C65" s="36" t="s">
        <v>92</v>
      </c>
      <c r="D65" s="39">
        <v>0.26060899865771808</v>
      </c>
      <c r="E65" s="42">
        <v>0.25825999999999999</v>
      </c>
      <c r="F65" s="42">
        <v>1.7920000000000002E-4</v>
      </c>
      <c r="G65" s="42">
        <v>2.1697986577181205E-3</v>
      </c>
      <c r="H65" s="40"/>
    </row>
    <row r="66" spans="1:8" s="16" customFormat="1" ht="15" x14ac:dyDescent="0.25">
      <c r="A66" s="115"/>
      <c r="B66" s="125"/>
      <c r="C66" s="36" t="s">
        <v>93</v>
      </c>
      <c r="D66" s="39">
        <v>0.24758108724832217</v>
      </c>
      <c r="E66" s="42">
        <v>0.24535000000000001</v>
      </c>
      <c r="F66" s="42">
        <v>1.6799999999999999E-4</v>
      </c>
      <c r="G66" s="42">
        <v>2.0630872483221475E-3</v>
      </c>
      <c r="H66" s="40"/>
    </row>
    <row r="67" spans="1:8" s="16" customFormat="1" ht="15" x14ac:dyDescent="0.25">
      <c r="A67" s="115"/>
      <c r="B67" s="111" t="s">
        <v>106</v>
      </c>
      <c r="C67" s="36" t="s">
        <v>90</v>
      </c>
      <c r="D67" s="39">
        <v>3165.0418120805371</v>
      </c>
      <c r="E67" s="46">
        <v>3149.67</v>
      </c>
      <c r="F67" s="46">
        <v>8.4</v>
      </c>
      <c r="G67" s="46">
        <v>6.9718120805369121</v>
      </c>
      <c r="H67" s="40"/>
    </row>
    <row r="68" spans="1:8" s="16" customFormat="1" ht="15" x14ac:dyDescent="0.25">
      <c r="A68" s="115"/>
      <c r="B68" s="112"/>
      <c r="C68" s="36" t="s">
        <v>91</v>
      </c>
      <c r="D68" s="39">
        <v>2.5401558563758391</v>
      </c>
      <c r="E68" s="42">
        <v>2.5278200000000002</v>
      </c>
      <c r="F68" s="42">
        <v>6.7424000000000008E-3</v>
      </c>
      <c r="G68" s="42">
        <v>5.5934563758389261E-3</v>
      </c>
      <c r="H68" s="40"/>
    </row>
    <row r="69" spans="1:8" s="16" customFormat="1" ht="15" x14ac:dyDescent="0.25">
      <c r="A69" s="115"/>
      <c r="B69" s="112"/>
      <c r="C69" s="36" t="s">
        <v>92</v>
      </c>
      <c r="D69" s="39">
        <v>0.25975352751677849</v>
      </c>
      <c r="E69" s="42">
        <v>0.25849</v>
      </c>
      <c r="F69" s="42">
        <v>6.9440000000000007E-4</v>
      </c>
      <c r="G69" s="42">
        <v>5.6912751677852351E-4</v>
      </c>
      <c r="H69" s="40"/>
    </row>
    <row r="70" spans="1:8" s="16" customFormat="1" ht="15" x14ac:dyDescent="0.25">
      <c r="A70" s="115"/>
      <c r="B70" s="113"/>
      <c r="C70" s="36" t="s">
        <v>93</v>
      </c>
      <c r="D70" s="39">
        <v>0.24677324966442954</v>
      </c>
      <c r="E70" s="42">
        <v>0.24557000000000001</v>
      </c>
      <c r="F70" s="42">
        <v>6.6080000000000012E-4</v>
      </c>
      <c r="G70" s="42">
        <v>5.4244966442953014E-4</v>
      </c>
      <c r="H70" s="40"/>
    </row>
    <row r="71" spans="1:8" s="16" customFormat="1" ht="15" x14ac:dyDescent="0.25">
      <c r="A71" s="115"/>
      <c r="B71" s="111" t="s">
        <v>107</v>
      </c>
      <c r="C71" s="36" t="s">
        <v>90</v>
      </c>
      <c r="D71" s="39">
        <v>3015.6546161073829</v>
      </c>
      <c r="E71" s="46">
        <v>2976.42</v>
      </c>
      <c r="F71" s="46">
        <v>0.34720000000000001</v>
      </c>
      <c r="G71" s="46">
        <v>38.887416107382549</v>
      </c>
      <c r="H71" s="40"/>
    </row>
    <row r="72" spans="1:8" s="16" customFormat="1" ht="15" x14ac:dyDescent="0.25">
      <c r="A72" s="115"/>
      <c r="B72" s="112"/>
      <c r="C72" s="36" t="s">
        <v>91</v>
      </c>
      <c r="D72" s="39">
        <v>2.5120638845637586</v>
      </c>
      <c r="E72" s="42">
        <v>2.4788700000000001</v>
      </c>
      <c r="F72" s="42">
        <v>2.9119999999999998E-4</v>
      </c>
      <c r="G72" s="42">
        <v>3.2902684563758389E-2</v>
      </c>
      <c r="H72" s="40"/>
    </row>
    <row r="73" spans="1:8" s="16" customFormat="1" ht="15" x14ac:dyDescent="0.25">
      <c r="A73" s="115"/>
      <c r="B73" s="112"/>
      <c r="C73" s="36" t="s">
        <v>92</v>
      </c>
      <c r="D73" s="39">
        <v>0.2540927610738255</v>
      </c>
      <c r="E73" s="42">
        <v>0.25075999999999998</v>
      </c>
      <c r="F73" s="42">
        <v>3.3600000000000004E-5</v>
      </c>
      <c r="G73" s="42">
        <v>3.2991610738255035E-3</v>
      </c>
      <c r="H73" s="40"/>
    </row>
    <row r="74" spans="1:8" s="16" customFormat="1" ht="15" x14ac:dyDescent="0.25">
      <c r="A74" s="115"/>
      <c r="B74" s="113"/>
      <c r="C74" s="36" t="s">
        <v>93</v>
      </c>
      <c r="D74" s="39">
        <v>0.2390759234899329</v>
      </c>
      <c r="E74" s="42">
        <v>0.23594999999999999</v>
      </c>
      <c r="F74" s="42">
        <v>2.2400000000000002E-5</v>
      </c>
      <c r="G74" s="42">
        <v>3.1035234899328859E-3</v>
      </c>
      <c r="H74" s="40"/>
    </row>
    <row r="75" spans="1:8" s="16" customFormat="1" ht="15" x14ac:dyDescent="0.25">
      <c r="A75" s="115"/>
      <c r="B75" s="111" t="s">
        <v>108</v>
      </c>
      <c r="C75" s="36" t="s">
        <v>90</v>
      </c>
      <c r="D75" s="39">
        <v>3203.9114281879197</v>
      </c>
      <c r="E75" s="46">
        <v>3164.33</v>
      </c>
      <c r="F75" s="46">
        <v>0.34720000000000001</v>
      </c>
      <c r="G75" s="46">
        <v>39.234228187919463</v>
      </c>
      <c r="H75" s="40"/>
    </row>
    <row r="76" spans="1:8" s="16" customFormat="1" ht="15" x14ac:dyDescent="0.25">
      <c r="A76" s="115"/>
      <c r="B76" s="112"/>
      <c r="C76" s="36" t="s">
        <v>91</v>
      </c>
      <c r="D76" s="39">
        <v>2.6593717369127514</v>
      </c>
      <c r="E76" s="42">
        <v>2.6259999999999999</v>
      </c>
      <c r="F76" s="42">
        <v>2.9119999999999998E-4</v>
      </c>
      <c r="G76" s="42">
        <v>3.3080536912751674E-2</v>
      </c>
      <c r="H76" s="40"/>
    </row>
    <row r="77" spans="1:8" s="16" customFormat="1" ht="15" x14ac:dyDescent="0.25">
      <c r="A77" s="115"/>
      <c r="B77" s="112"/>
      <c r="C77" s="36" t="s">
        <v>92</v>
      </c>
      <c r="D77" s="39">
        <v>0.2680227610738255</v>
      </c>
      <c r="E77" s="42">
        <v>0.26468999999999998</v>
      </c>
      <c r="F77" s="42">
        <v>3.3600000000000004E-5</v>
      </c>
      <c r="G77" s="42">
        <v>3.2991610738255035E-3</v>
      </c>
      <c r="H77" s="40"/>
    </row>
    <row r="78" spans="1:8" s="16" customFormat="1" ht="15" x14ac:dyDescent="0.25">
      <c r="A78" s="115"/>
      <c r="B78" s="113"/>
      <c r="C78" s="36" t="s">
        <v>93</v>
      </c>
      <c r="D78" s="39">
        <v>0.25192703087248325</v>
      </c>
      <c r="E78" s="42">
        <v>0.24881</v>
      </c>
      <c r="F78" s="42">
        <v>2.2400000000000002E-5</v>
      </c>
      <c r="G78" s="42">
        <v>3.0946308724832216E-3</v>
      </c>
      <c r="H78" s="40"/>
    </row>
    <row r="79" spans="1:8" s="16" customFormat="1" ht="15" x14ac:dyDescent="0.25">
      <c r="A79" s="115"/>
      <c r="B79" s="111" t="s">
        <v>109</v>
      </c>
      <c r="C79" s="36" t="s">
        <v>90</v>
      </c>
      <c r="D79" s="39">
        <v>3228.8901865771813</v>
      </c>
      <c r="E79" s="46">
        <v>3216.38</v>
      </c>
      <c r="F79" s="46">
        <v>5.3872</v>
      </c>
      <c r="G79" s="46">
        <v>7.1229865771812078</v>
      </c>
      <c r="H79" s="40"/>
    </row>
    <row r="80" spans="1:8" s="16" customFormat="1" ht="15" x14ac:dyDescent="0.25">
      <c r="A80" s="115"/>
      <c r="B80" s="112"/>
      <c r="C80" s="36" t="s">
        <v>91</v>
      </c>
      <c r="D80" s="39">
        <v>3.1749249825503356</v>
      </c>
      <c r="E80" s="42">
        <v>3.16262</v>
      </c>
      <c r="F80" s="42">
        <v>5.2976000000000004E-3</v>
      </c>
      <c r="G80" s="42">
        <v>7.00738255033557E-3</v>
      </c>
      <c r="H80" s="40"/>
    </row>
    <row r="81" spans="1:8" s="16" customFormat="1" ht="15" x14ac:dyDescent="0.25">
      <c r="A81" s="115"/>
      <c r="B81" s="112"/>
      <c r="C81" s="36" t="s">
        <v>92</v>
      </c>
      <c r="D81" s="39">
        <v>0.28523177583892617</v>
      </c>
      <c r="E81" s="42">
        <v>0.28412999999999999</v>
      </c>
      <c r="F81" s="42">
        <v>4.7040000000000005E-4</v>
      </c>
      <c r="G81" s="42">
        <v>6.3137583892617451E-4</v>
      </c>
      <c r="H81" s="40"/>
    </row>
    <row r="82" spans="1:8" s="16" customFormat="1" ht="15" x14ac:dyDescent="0.25">
      <c r="A82" s="115"/>
      <c r="B82" s="113"/>
      <c r="C82" s="36" t="s">
        <v>93</v>
      </c>
      <c r="D82" s="39">
        <v>0.26813380536912751</v>
      </c>
      <c r="E82" s="42">
        <v>0.26708999999999999</v>
      </c>
      <c r="F82" s="42">
        <v>4.4800000000000005E-4</v>
      </c>
      <c r="G82" s="42">
        <v>5.9580536912751678E-4</v>
      </c>
      <c r="H82" s="40"/>
    </row>
    <row r="83" spans="1:8" s="16" customFormat="1" ht="15" x14ac:dyDescent="0.25">
      <c r="A83" s="115"/>
      <c r="B83" s="111" t="s">
        <v>110</v>
      </c>
      <c r="C83" s="36" t="s">
        <v>90</v>
      </c>
      <c r="D83" s="39">
        <v>3226.5785919463087</v>
      </c>
      <c r="E83" s="46">
        <v>3190</v>
      </c>
      <c r="F83" s="46">
        <v>3.6848000000000005</v>
      </c>
      <c r="G83" s="46">
        <v>32.893791946308724</v>
      </c>
      <c r="H83" s="40"/>
    </row>
    <row r="84" spans="1:8" s="16" customFormat="1" ht="15" x14ac:dyDescent="0.25">
      <c r="A84" s="115"/>
      <c r="B84" s="112"/>
      <c r="C84" s="36" t="s">
        <v>91</v>
      </c>
      <c r="D84" s="39">
        <v>2.7554089785234899</v>
      </c>
      <c r="E84" s="42">
        <v>2.72417</v>
      </c>
      <c r="F84" s="42">
        <v>3.1472000000000002E-3</v>
      </c>
      <c r="G84" s="42">
        <v>2.8091778523489933E-2</v>
      </c>
      <c r="H84" s="40"/>
    </row>
    <row r="85" spans="1:8" s="16" customFormat="1" ht="15" x14ac:dyDescent="0.25">
      <c r="A85" s="115"/>
      <c r="B85" s="112"/>
      <c r="C85" s="36" t="s">
        <v>92</v>
      </c>
      <c r="D85" s="39">
        <v>0.27287698926174503</v>
      </c>
      <c r="E85" s="42">
        <v>0.26978000000000002</v>
      </c>
      <c r="F85" s="42">
        <v>3.1359999999999998E-4</v>
      </c>
      <c r="G85" s="42">
        <v>2.7833892617449662E-3</v>
      </c>
      <c r="H85" s="40"/>
    </row>
    <row r="86" spans="1:8" s="16" customFormat="1" ht="15" x14ac:dyDescent="0.25">
      <c r="A86" s="115"/>
      <c r="B86" s="113"/>
      <c r="C86" s="36" t="s">
        <v>93</v>
      </c>
      <c r="D86" s="39">
        <v>0.25649562953020133</v>
      </c>
      <c r="E86" s="42">
        <v>0.25358999999999998</v>
      </c>
      <c r="F86" s="42">
        <v>2.9119999999999998E-4</v>
      </c>
      <c r="G86" s="42">
        <v>2.6144295302013422E-3</v>
      </c>
      <c r="H86" s="40"/>
    </row>
    <row r="87" spans="1:8" s="16" customFormat="1" ht="15" x14ac:dyDescent="0.25">
      <c r="A87" s="115"/>
      <c r="B87" s="120" t="s">
        <v>111</v>
      </c>
      <c r="C87" s="36" t="s">
        <v>90</v>
      </c>
      <c r="D87" s="39">
        <v>3180.9999181208054</v>
      </c>
      <c r="E87" s="46">
        <v>3171.09</v>
      </c>
      <c r="F87" s="46">
        <v>3.4272000000000005</v>
      </c>
      <c r="G87" s="46">
        <v>6.4827181208053695</v>
      </c>
      <c r="H87" s="40"/>
    </row>
    <row r="88" spans="1:8" s="16" customFormat="1" ht="15" x14ac:dyDescent="0.25">
      <c r="A88" s="115"/>
      <c r="B88" s="121" t="s">
        <v>111</v>
      </c>
      <c r="C88" s="36" t="s">
        <v>91</v>
      </c>
      <c r="D88" s="39">
        <v>2.7493391489932888</v>
      </c>
      <c r="E88" s="46">
        <v>2.74078</v>
      </c>
      <c r="F88" s="46">
        <v>2.9568000000000003E-3</v>
      </c>
      <c r="G88" s="46">
        <v>5.6023489932885903E-3</v>
      </c>
      <c r="H88" s="40"/>
    </row>
    <row r="89" spans="1:8" s="16" customFormat="1" ht="15" x14ac:dyDescent="0.25">
      <c r="A89" s="115"/>
      <c r="B89" s="121" t="s">
        <v>111</v>
      </c>
      <c r="C89" s="36" t="s">
        <v>92</v>
      </c>
      <c r="D89" s="39">
        <v>0.28100152751677848</v>
      </c>
      <c r="E89" s="42">
        <v>0.28012999999999999</v>
      </c>
      <c r="F89" s="42">
        <v>3.0240000000000003E-4</v>
      </c>
      <c r="G89" s="42">
        <v>5.6912751677852351E-4</v>
      </c>
      <c r="H89" s="40"/>
    </row>
    <row r="90" spans="1:8" s="16" customFormat="1" ht="15" x14ac:dyDescent="0.25">
      <c r="A90" s="115"/>
      <c r="B90" s="122" t="s">
        <v>111</v>
      </c>
      <c r="C90" s="36" t="s">
        <v>93</v>
      </c>
      <c r="D90" s="39">
        <v>0.26414244966442951</v>
      </c>
      <c r="E90" s="42">
        <v>0.26332</v>
      </c>
      <c r="F90" s="42">
        <v>2.8000000000000003E-4</v>
      </c>
      <c r="G90" s="42">
        <v>5.4244966442953014E-4</v>
      </c>
      <c r="H90" s="40"/>
    </row>
    <row r="91" spans="1:8" s="16" customFormat="1" ht="15" x14ac:dyDescent="0.25">
      <c r="A91" s="115"/>
      <c r="B91" s="120" t="s">
        <v>112</v>
      </c>
      <c r="C91" s="36" t="s">
        <v>90</v>
      </c>
      <c r="D91" s="39">
        <v>3142.3788979865772</v>
      </c>
      <c r="E91" s="46">
        <v>3131.33</v>
      </c>
      <c r="F91" s="46">
        <v>3.8192000000000004</v>
      </c>
      <c r="G91" s="46">
        <v>7.2296979865771815</v>
      </c>
      <c r="H91" s="40"/>
    </row>
    <row r="92" spans="1:8" s="16" customFormat="1" ht="15" x14ac:dyDescent="0.25">
      <c r="A92" s="115"/>
      <c r="B92" s="121" t="s">
        <v>112</v>
      </c>
      <c r="C92" s="36" t="s">
        <v>91</v>
      </c>
      <c r="D92" s="39">
        <v>2.1189391543624159</v>
      </c>
      <c r="E92" s="46">
        <v>2.1114899999999999</v>
      </c>
      <c r="F92" s="46">
        <v>2.5760000000000002E-3</v>
      </c>
      <c r="G92" s="46">
        <v>4.8731543624161069E-3</v>
      </c>
      <c r="H92" s="40"/>
    </row>
    <row r="93" spans="1:8" s="16" customFormat="1" ht="15" x14ac:dyDescent="0.25">
      <c r="A93" s="115"/>
      <c r="B93" s="121" t="s">
        <v>112</v>
      </c>
      <c r="C93" s="36" t="s">
        <v>92</v>
      </c>
      <c r="D93" s="39">
        <v>0.24891152751677853</v>
      </c>
      <c r="E93" s="42">
        <v>0.24804000000000001</v>
      </c>
      <c r="F93" s="42">
        <v>3.0240000000000003E-4</v>
      </c>
      <c r="G93" s="42">
        <v>5.6912751677852351E-4</v>
      </c>
      <c r="H93" s="40"/>
    </row>
    <row r="94" spans="1:8" s="16" customFormat="1" ht="15" x14ac:dyDescent="0.25">
      <c r="A94" s="115"/>
      <c r="B94" s="122" t="s">
        <v>112</v>
      </c>
      <c r="C94" s="47" t="s">
        <v>93</v>
      </c>
      <c r="D94" s="39">
        <v>0.23647364966442952</v>
      </c>
      <c r="E94" s="48">
        <v>0.23563999999999999</v>
      </c>
      <c r="F94" s="48">
        <v>2.9119999999999998E-4</v>
      </c>
      <c r="G94" s="48">
        <v>5.4244966442953014E-4</v>
      </c>
      <c r="H94" s="40"/>
    </row>
    <row r="95" spans="1:8" s="16" customFormat="1" ht="15" x14ac:dyDescent="0.25">
      <c r="A95" s="115"/>
      <c r="B95" s="120" t="s">
        <v>113</v>
      </c>
      <c r="C95" s="49" t="s">
        <v>90</v>
      </c>
      <c r="D95" s="39">
        <v>2806.6593516778526</v>
      </c>
      <c r="E95" s="50">
        <v>2787.93</v>
      </c>
      <c r="F95" s="50">
        <v>10.841600000000001</v>
      </c>
      <c r="G95" s="51">
        <v>7.8877516778523482</v>
      </c>
      <c r="H95" s="40"/>
    </row>
    <row r="96" spans="1:8" s="16" customFormat="1" ht="15" x14ac:dyDescent="0.25">
      <c r="A96" s="115"/>
      <c r="B96" s="121"/>
      <c r="C96" s="52" t="s">
        <v>91</v>
      </c>
      <c r="D96" s="39">
        <v>2.0974731275167788</v>
      </c>
      <c r="E96" s="42">
        <v>2.0835400000000002</v>
      </c>
      <c r="F96" s="42">
        <v>8.064E-3</v>
      </c>
      <c r="G96" s="53">
        <v>5.8691275167785236E-3</v>
      </c>
      <c r="H96" s="40"/>
    </row>
    <row r="97" spans="1:13" s="16" customFormat="1" ht="15" x14ac:dyDescent="0.25">
      <c r="A97" s="115"/>
      <c r="B97" s="121"/>
      <c r="C97" s="52" t="s">
        <v>92</v>
      </c>
      <c r="D97" s="39">
        <v>0.23396516107382551</v>
      </c>
      <c r="E97" s="42">
        <v>0.23241999999999999</v>
      </c>
      <c r="F97" s="42">
        <v>8.9600000000000009E-4</v>
      </c>
      <c r="G97" s="53">
        <v>6.4916107382550331E-4</v>
      </c>
      <c r="H97" s="40"/>
    </row>
    <row r="98" spans="1:13" s="16" customFormat="1" ht="15" x14ac:dyDescent="0.25">
      <c r="A98" s="115"/>
      <c r="B98" s="122"/>
      <c r="C98" s="54" t="s">
        <v>93</v>
      </c>
      <c r="D98" s="39">
        <v>0.22166359060402685</v>
      </c>
      <c r="E98" s="55">
        <v>0.22020999999999999</v>
      </c>
      <c r="F98" s="55">
        <v>8.4000000000000014E-4</v>
      </c>
      <c r="G98" s="56">
        <v>6.1359060402684559E-4</v>
      </c>
      <c r="H98" s="40"/>
    </row>
    <row r="99" spans="1:13" s="16" customFormat="1" ht="15" x14ac:dyDescent="0.25">
      <c r="A99" s="115"/>
      <c r="B99" s="111" t="s">
        <v>114</v>
      </c>
      <c r="C99" s="57" t="s">
        <v>90</v>
      </c>
      <c r="D99" s="39">
        <v>3154.0821261744968</v>
      </c>
      <c r="E99" s="58">
        <v>3135</v>
      </c>
      <c r="F99" s="58">
        <v>11.043200000000001</v>
      </c>
      <c r="G99" s="58">
        <v>8.0389261744966429</v>
      </c>
      <c r="H99" s="40"/>
    </row>
    <row r="100" spans="1:13" s="16" customFormat="1" ht="15" x14ac:dyDescent="0.25">
      <c r="A100" s="115"/>
      <c r="B100" s="112"/>
      <c r="C100" s="36" t="s">
        <v>91</v>
      </c>
      <c r="D100" s="39">
        <v>2.3450253463087245</v>
      </c>
      <c r="E100" s="42">
        <v>2.3308599999999999</v>
      </c>
      <c r="F100" s="42">
        <v>8.1984000000000015E-3</v>
      </c>
      <c r="G100" s="42">
        <v>5.966946308724832E-3</v>
      </c>
      <c r="H100" s="40"/>
    </row>
    <row r="101" spans="1:13" s="16" customFormat="1" ht="15" x14ac:dyDescent="0.25">
      <c r="A101" s="115"/>
      <c r="B101" s="112"/>
      <c r="C101" s="36" t="s">
        <v>92</v>
      </c>
      <c r="D101" s="39">
        <v>0.25443516107382552</v>
      </c>
      <c r="E101" s="42">
        <v>0.25289</v>
      </c>
      <c r="F101" s="42">
        <v>8.9600000000000009E-4</v>
      </c>
      <c r="G101" s="42">
        <v>6.4916107382550331E-4</v>
      </c>
      <c r="H101" s="40"/>
    </row>
    <row r="102" spans="1:13" s="16" customFormat="1" ht="15" x14ac:dyDescent="0.25">
      <c r="A102" s="115"/>
      <c r="B102" s="113"/>
      <c r="C102" s="36" t="s">
        <v>93</v>
      </c>
      <c r="D102" s="39">
        <v>0.24171479060402684</v>
      </c>
      <c r="E102" s="42">
        <v>0.24024999999999999</v>
      </c>
      <c r="F102" s="42">
        <v>8.5120000000000009E-4</v>
      </c>
      <c r="G102" s="42">
        <v>6.1359060402684559E-4</v>
      </c>
      <c r="H102" s="40"/>
    </row>
    <row r="103" spans="1:13" s="16" customFormat="1" ht="15" x14ac:dyDescent="0.25">
      <c r="A103" s="115"/>
      <c r="B103" s="111" t="s">
        <v>115</v>
      </c>
      <c r="C103" s="36" t="s">
        <v>90</v>
      </c>
      <c r="D103" s="39">
        <v>3228.8901865771813</v>
      </c>
      <c r="E103" s="46">
        <v>3216.38</v>
      </c>
      <c r="F103" s="46">
        <v>5.3872</v>
      </c>
      <c r="G103" s="46">
        <v>7.1229865771812078</v>
      </c>
      <c r="H103" s="40"/>
    </row>
    <row r="104" spans="1:13" s="16" customFormat="1" ht="15" x14ac:dyDescent="0.25">
      <c r="A104" s="115"/>
      <c r="B104" s="112"/>
      <c r="C104" s="36" t="s">
        <v>91</v>
      </c>
      <c r="D104" s="39">
        <v>3.1749249825503356</v>
      </c>
      <c r="E104" s="42">
        <v>3.16262</v>
      </c>
      <c r="F104" s="42">
        <v>5.2976000000000004E-3</v>
      </c>
      <c r="G104" s="42">
        <v>7.00738255033557E-3</v>
      </c>
      <c r="H104" s="40"/>
    </row>
    <row r="105" spans="1:13" s="16" customFormat="1" ht="15" x14ac:dyDescent="0.25">
      <c r="A105" s="115"/>
      <c r="B105" s="112"/>
      <c r="C105" s="36" t="s">
        <v>92</v>
      </c>
      <c r="D105" s="39">
        <v>0.28523177583892617</v>
      </c>
      <c r="E105" s="42">
        <v>0.28412999999999999</v>
      </c>
      <c r="F105" s="42">
        <v>4.7040000000000005E-4</v>
      </c>
      <c r="G105" s="42">
        <v>6.3137583892617451E-4</v>
      </c>
      <c r="H105" s="40"/>
    </row>
    <row r="106" spans="1:13" s="16" customFormat="1" ht="15" x14ac:dyDescent="0.25">
      <c r="A106" s="115"/>
      <c r="B106" s="113"/>
      <c r="C106" s="36" t="s">
        <v>93</v>
      </c>
      <c r="D106" s="39">
        <v>0.26813380536912751</v>
      </c>
      <c r="E106" s="42">
        <v>0.26708999999999999</v>
      </c>
      <c r="F106" s="42">
        <v>4.4800000000000005E-4</v>
      </c>
      <c r="G106" s="42">
        <v>5.9580536912751678E-4</v>
      </c>
      <c r="H106" s="40"/>
    </row>
    <row r="107" spans="1:13" s="16" customFormat="1" ht="15" x14ac:dyDescent="0.25">
      <c r="A107" s="115"/>
      <c r="B107" s="111" t="s">
        <v>116</v>
      </c>
      <c r="C107" s="36" t="s">
        <v>90</v>
      </c>
      <c r="D107" s="39">
        <v>3226.5785919463087</v>
      </c>
      <c r="E107" s="46">
        <v>3190</v>
      </c>
      <c r="F107" s="46">
        <v>3.6848000000000005</v>
      </c>
      <c r="G107" s="46">
        <v>32.893791946308724</v>
      </c>
      <c r="H107" s="40"/>
    </row>
    <row r="108" spans="1:13" s="44" customFormat="1" ht="15" x14ac:dyDescent="0.25">
      <c r="A108" s="115"/>
      <c r="B108" s="112"/>
      <c r="C108" s="36" t="s">
        <v>91</v>
      </c>
      <c r="D108" s="39">
        <v>2.7554089785234899</v>
      </c>
      <c r="E108" s="42">
        <v>2.72417</v>
      </c>
      <c r="F108" s="42">
        <v>3.1472000000000002E-3</v>
      </c>
      <c r="G108" s="42">
        <v>2.8091778523489933E-2</v>
      </c>
      <c r="H108" s="40"/>
      <c r="I108" s="16"/>
      <c r="J108" s="16"/>
      <c r="K108" s="16"/>
      <c r="L108" s="16"/>
      <c r="M108" s="16"/>
    </row>
    <row r="109" spans="1:13" s="44" customFormat="1" ht="15" x14ac:dyDescent="0.25">
      <c r="A109" s="115"/>
      <c r="B109" s="112"/>
      <c r="C109" s="36" t="s">
        <v>92</v>
      </c>
      <c r="D109" s="39">
        <v>0.27287698926174503</v>
      </c>
      <c r="E109" s="42">
        <v>0.26978000000000002</v>
      </c>
      <c r="F109" s="42">
        <v>3.1359999999999998E-4</v>
      </c>
      <c r="G109" s="42">
        <v>2.7833892617449662E-3</v>
      </c>
      <c r="H109" s="40"/>
      <c r="I109" s="16"/>
      <c r="J109" s="16"/>
      <c r="K109" s="16"/>
      <c r="L109" s="16"/>
      <c r="M109" s="16"/>
    </row>
    <row r="110" spans="1:13" s="44" customFormat="1" ht="15" x14ac:dyDescent="0.25">
      <c r="A110" s="115"/>
      <c r="B110" s="113"/>
      <c r="C110" s="36" t="s">
        <v>93</v>
      </c>
      <c r="D110" s="39">
        <v>0.25649562953020133</v>
      </c>
      <c r="E110" s="42">
        <v>0.25358999999999998</v>
      </c>
      <c r="F110" s="42">
        <v>2.9119999999999998E-4</v>
      </c>
      <c r="G110" s="42">
        <v>2.6144295302013422E-3</v>
      </c>
      <c r="H110" s="40"/>
      <c r="I110" s="16"/>
      <c r="J110" s="16"/>
      <c r="K110" s="16"/>
      <c r="L110" s="16"/>
      <c r="M110" s="16"/>
    </row>
    <row r="111" spans="1:13" s="16" customFormat="1" ht="15" x14ac:dyDescent="0.25">
      <c r="A111" s="115"/>
      <c r="B111" s="111" t="s">
        <v>117</v>
      </c>
      <c r="C111" s="36" t="s">
        <v>90</v>
      </c>
      <c r="D111" s="39">
        <v>2944.3209275167787</v>
      </c>
      <c r="E111" s="46">
        <v>2933.33</v>
      </c>
      <c r="F111" s="46">
        <v>3.7968000000000006</v>
      </c>
      <c r="G111" s="46">
        <v>7.194127516778523</v>
      </c>
      <c r="H111" s="40"/>
    </row>
    <row r="112" spans="1:13" s="16" customFormat="1" ht="15" x14ac:dyDescent="0.25">
      <c r="A112" s="115"/>
      <c r="B112" s="112"/>
      <c r="C112" s="36" t="s">
        <v>91</v>
      </c>
      <c r="D112" s="59"/>
      <c r="E112" s="59"/>
      <c r="F112" s="59"/>
      <c r="G112" s="59"/>
      <c r="H112" s="40"/>
    </row>
    <row r="113" spans="1:8" s="16" customFormat="1" ht="15" x14ac:dyDescent="0.25">
      <c r="A113" s="115"/>
      <c r="B113" s="112"/>
      <c r="C113" s="36" t="s">
        <v>92</v>
      </c>
      <c r="D113" s="39">
        <v>0.25960737583892618</v>
      </c>
      <c r="E113" s="42">
        <v>0.25863999999999998</v>
      </c>
      <c r="F113" s="42">
        <v>3.3599999999999998E-4</v>
      </c>
      <c r="G113" s="42">
        <v>6.3137583892617451E-4</v>
      </c>
      <c r="H113" s="40"/>
    </row>
    <row r="114" spans="1:8" s="16" customFormat="1" ht="15" x14ac:dyDescent="0.25">
      <c r="A114" s="115"/>
      <c r="B114" s="113"/>
      <c r="C114" s="36" t="s">
        <v>93</v>
      </c>
      <c r="D114" s="39">
        <v>0.24662829798657718</v>
      </c>
      <c r="E114" s="42">
        <v>0.24571000000000001</v>
      </c>
      <c r="F114" s="42">
        <v>3.1359999999999998E-4</v>
      </c>
      <c r="G114" s="42">
        <v>6.0469798657718124E-4</v>
      </c>
      <c r="H114" s="40"/>
    </row>
    <row r="115" spans="1:8" s="16" customFormat="1" ht="15" x14ac:dyDescent="0.25">
      <c r="A115" s="115"/>
      <c r="B115" s="111" t="s">
        <v>118</v>
      </c>
      <c r="C115" s="36" t="s">
        <v>90</v>
      </c>
      <c r="D115" s="39">
        <v>3219.3791583892621</v>
      </c>
      <c r="E115" s="46">
        <v>3171.09</v>
      </c>
      <c r="F115" s="46">
        <v>3.5504000000000002</v>
      </c>
      <c r="G115" s="46">
        <v>44.738758389261747</v>
      </c>
      <c r="H115" s="40"/>
    </row>
    <row r="116" spans="1:8" ht="15" x14ac:dyDescent="0.25">
      <c r="A116" s="115"/>
      <c r="B116" s="112" t="s">
        <v>118</v>
      </c>
      <c r="C116" s="36" t="s">
        <v>91</v>
      </c>
      <c r="D116" s="39">
        <v>2.7492366845637579</v>
      </c>
      <c r="E116" s="46">
        <v>2.7080099999999998</v>
      </c>
      <c r="F116" s="46">
        <v>3.0240000000000006E-3</v>
      </c>
      <c r="G116" s="46">
        <v>3.8202684563758388E-2</v>
      </c>
      <c r="H116" s="40"/>
    </row>
    <row r="117" spans="1:8" ht="15" x14ac:dyDescent="0.25">
      <c r="A117" s="115"/>
      <c r="B117" s="112" t="s">
        <v>118</v>
      </c>
      <c r="C117" s="36" t="s">
        <v>92</v>
      </c>
      <c r="D117" s="39">
        <v>0.27458733288590603</v>
      </c>
      <c r="E117" s="42">
        <v>0.27046999999999999</v>
      </c>
      <c r="F117" s="42">
        <v>3.0240000000000003E-4</v>
      </c>
      <c r="G117" s="42">
        <v>3.8149328859060404E-3</v>
      </c>
      <c r="H117" s="40"/>
    </row>
    <row r="118" spans="1:8" ht="15" x14ac:dyDescent="0.25">
      <c r="A118" s="115"/>
      <c r="B118" s="113" t="s">
        <v>118</v>
      </c>
      <c r="C118" s="36" t="s">
        <v>93</v>
      </c>
      <c r="D118" s="39">
        <v>0.25640593959731545</v>
      </c>
      <c r="E118" s="42">
        <v>0.25256000000000001</v>
      </c>
      <c r="F118" s="42">
        <v>2.8000000000000003E-4</v>
      </c>
      <c r="G118" s="42">
        <v>3.565939597315436E-3</v>
      </c>
      <c r="H118" s="40"/>
    </row>
    <row r="119" spans="1:8" ht="15" x14ac:dyDescent="0.25">
      <c r="A119" s="115"/>
      <c r="B119" s="111" t="s">
        <v>119</v>
      </c>
      <c r="C119" s="36" t="s">
        <v>90</v>
      </c>
      <c r="D119" s="39">
        <v>3245.3044147651008</v>
      </c>
      <c r="E119" s="46">
        <v>3205.99</v>
      </c>
      <c r="F119" s="46">
        <v>0.90720000000000012</v>
      </c>
      <c r="G119" s="46">
        <v>38.407214765100669</v>
      </c>
      <c r="H119" s="40"/>
    </row>
    <row r="120" spans="1:8" ht="15" x14ac:dyDescent="0.25">
      <c r="A120" s="115"/>
      <c r="B120" s="112"/>
      <c r="C120" s="36" t="s">
        <v>91</v>
      </c>
      <c r="D120" s="39">
        <v>2.7713887731543627</v>
      </c>
      <c r="E120" s="42">
        <v>2.7378200000000001</v>
      </c>
      <c r="F120" s="42">
        <v>7.7280000000000003E-4</v>
      </c>
      <c r="G120" s="42">
        <v>3.2795973154362418E-2</v>
      </c>
      <c r="H120" s="40"/>
    </row>
    <row r="121" spans="1:8" ht="15" x14ac:dyDescent="0.25">
      <c r="A121" s="115"/>
      <c r="B121" s="112"/>
      <c r="C121" s="36" t="s">
        <v>92</v>
      </c>
      <c r="D121" s="39">
        <v>0.27445420536912746</v>
      </c>
      <c r="E121" s="42">
        <v>0.27112999999999998</v>
      </c>
      <c r="F121" s="42">
        <v>7.8399999999999995E-5</v>
      </c>
      <c r="G121" s="42">
        <v>3.2458053691275168E-3</v>
      </c>
      <c r="H121" s="40"/>
    </row>
    <row r="122" spans="1:8" ht="15" x14ac:dyDescent="0.25">
      <c r="A122" s="115"/>
      <c r="B122" s="113"/>
      <c r="C122" s="36" t="s">
        <v>93</v>
      </c>
      <c r="D122" s="39">
        <v>0.25797736778523489</v>
      </c>
      <c r="E122" s="42">
        <v>0.25485999999999998</v>
      </c>
      <c r="F122" s="42">
        <v>6.7200000000000007E-5</v>
      </c>
      <c r="G122" s="42">
        <v>3.0501677852348991E-3</v>
      </c>
      <c r="H122" s="40"/>
    </row>
    <row r="123" spans="1:8" ht="15" x14ac:dyDescent="0.25">
      <c r="A123" s="115"/>
      <c r="B123" s="111" t="s">
        <v>120</v>
      </c>
      <c r="C123" s="36" t="s">
        <v>90</v>
      </c>
      <c r="D123" s="39">
        <v>3154.7533395973151</v>
      </c>
      <c r="E123" s="46">
        <v>3113.99</v>
      </c>
      <c r="F123" s="46">
        <v>1.4224000000000001</v>
      </c>
      <c r="G123" s="46">
        <v>39.34093959731544</v>
      </c>
      <c r="H123" s="40"/>
    </row>
    <row r="124" spans="1:8" ht="15" x14ac:dyDescent="0.25">
      <c r="A124" s="115"/>
      <c r="B124" s="112"/>
      <c r="C124" s="36" t="s">
        <v>91</v>
      </c>
      <c r="D124" s="39">
        <v>3.1020228859060399</v>
      </c>
      <c r="E124" s="42">
        <v>3.0619399999999999</v>
      </c>
      <c r="F124" s="42">
        <v>1.4000000000000002E-3</v>
      </c>
      <c r="G124" s="42">
        <v>3.8682885906040264E-2</v>
      </c>
      <c r="H124" s="40"/>
    </row>
    <row r="125" spans="1:8" ht="15" x14ac:dyDescent="0.25">
      <c r="A125" s="115"/>
      <c r="B125" s="112"/>
      <c r="C125" s="36" t="s">
        <v>92</v>
      </c>
      <c r="D125" s="39">
        <v>0.2786902134228188</v>
      </c>
      <c r="E125" s="42">
        <v>0.27509</v>
      </c>
      <c r="F125" s="42">
        <v>1.2320000000000001E-4</v>
      </c>
      <c r="G125" s="42">
        <v>3.4770134228187923E-3</v>
      </c>
      <c r="H125" s="40"/>
    </row>
    <row r="126" spans="1:8" ht="15" x14ac:dyDescent="0.25">
      <c r="A126" s="116"/>
      <c r="B126" s="113"/>
      <c r="C126" s="36" t="s">
        <v>93</v>
      </c>
      <c r="D126" s="39">
        <v>0.26196679060402683</v>
      </c>
      <c r="E126" s="42">
        <v>0.25857999999999998</v>
      </c>
      <c r="F126" s="42">
        <v>1.2320000000000001E-4</v>
      </c>
      <c r="G126" s="42">
        <v>3.2635906040268457E-3</v>
      </c>
      <c r="H126" s="40"/>
    </row>
    <row r="127" spans="1:8" ht="15" x14ac:dyDescent="0.25">
      <c r="A127" s="44"/>
      <c r="B127" s="44"/>
      <c r="C127" s="44"/>
      <c r="D127" s="45"/>
      <c r="E127" s="45"/>
      <c r="F127" s="45"/>
      <c r="G127" s="45"/>
      <c r="H127" s="16" t="s">
        <v>102</v>
      </c>
    </row>
    <row r="128" spans="1:8" ht="15" x14ac:dyDescent="0.25">
      <c r="A128" s="44"/>
      <c r="B128" s="44"/>
      <c r="C128" s="44"/>
      <c r="D128" s="45"/>
      <c r="E128" s="45"/>
      <c r="F128" s="45"/>
      <c r="G128" s="45"/>
      <c r="H128" s="16" t="s">
        <v>102</v>
      </c>
    </row>
    <row r="129" spans="1:8" ht="15" x14ac:dyDescent="0.25">
      <c r="A129" s="44"/>
      <c r="B129" s="44"/>
      <c r="C129" s="44"/>
      <c r="D129" s="45"/>
      <c r="E129" s="45"/>
      <c r="F129" s="45"/>
      <c r="G129" s="45"/>
      <c r="H129" s="16" t="s">
        <v>102</v>
      </c>
    </row>
    <row r="130" spans="1:8" ht="18" customHeight="1" x14ac:dyDescent="0.35">
      <c r="A130" s="35" t="s">
        <v>81</v>
      </c>
      <c r="B130" s="35" t="s">
        <v>82</v>
      </c>
      <c r="C130" s="35" t="s">
        <v>83</v>
      </c>
      <c r="D130" s="36" t="s">
        <v>84</v>
      </c>
      <c r="E130" s="36" t="s">
        <v>85</v>
      </c>
      <c r="F130" s="37" t="s">
        <v>86</v>
      </c>
      <c r="G130" s="37" t="s">
        <v>87</v>
      </c>
    </row>
    <row r="131" spans="1:8" ht="15" x14ac:dyDescent="0.25">
      <c r="A131" s="114" t="s">
        <v>121</v>
      </c>
      <c r="B131" s="117" t="s">
        <v>122</v>
      </c>
      <c r="C131" s="36" t="s">
        <v>90</v>
      </c>
      <c r="D131" s="39">
        <v>2396.4799436241606</v>
      </c>
      <c r="E131" s="46">
        <v>2371.91</v>
      </c>
      <c r="F131" s="46">
        <v>7.6384000000000007</v>
      </c>
      <c r="G131" s="46">
        <v>16.931543624161073</v>
      </c>
      <c r="H131" s="40"/>
    </row>
    <row r="132" spans="1:8" ht="15" x14ac:dyDescent="0.25">
      <c r="A132" s="115"/>
      <c r="B132" s="118"/>
      <c r="C132" s="36" t="s">
        <v>92</v>
      </c>
      <c r="D132" s="39">
        <v>0.33959740671140942</v>
      </c>
      <c r="E132" s="42">
        <v>0.33611000000000002</v>
      </c>
      <c r="F132" s="42">
        <v>1.0864000000000002E-3</v>
      </c>
      <c r="G132" s="42">
        <v>2.401006711409396E-3</v>
      </c>
      <c r="H132" s="40"/>
    </row>
    <row r="133" spans="1:8" ht="15" x14ac:dyDescent="0.25">
      <c r="A133" s="115"/>
      <c r="B133" s="119"/>
      <c r="C133" s="36" t="s">
        <v>93</v>
      </c>
      <c r="D133" s="39">
        <v>0.32261691006711407</v>
      </c>
      <c r="E133" s="42">
        <v>0.31930999999999998</v>
      </c>
      <c r="F133" s="42">
        <v>1.0304000000000001E-3</v>
      </c>
      <c r="G133" s="42">
        <v>2.276510067114094E-3</v>
      </c>
      <c r="H133" s="40"/>
    </row>
    <row r="134" spans="1:8" ht="15" x14ac:dyDescent="0.25">
      <c r="A134" s="115"/>
      <c r="B134" s="117" t="s">
        <v>123</v>
      </c>
      <c r="C134" s="36" t="s">
        <v>90</v>
      </c>
      <c r="D134" s="39">
        <v>2199.3344832214766</v>
      </c>
      <c r="E134" s="46">
        <v>2187.44</v>
      </c>
      <c r="F134" s="46">
        <v>0.67200000000000004</v>
      </c>
      <c r="G134" s="46">
        <v>11.222483221476509</v>
      </c>
      <c r="H134" s="40"/>
    </row>
    <row r="135" spans="1:8" ht="15" x14ac:dyDescent="0.25">
      <c r="A135" s="115"/>
      <c r="B135" s="118"/>
      <c r="C135" s="36" t="s">
        <v>92</v>
      </c>
      <c r="D135" s="39">
        <v>0.33407150469798658</v>
      </c>
      <c r="E135" s="42">
        <v>0.33228999999999997</v>
      </c>
      <c r="F135" s="42">
        <v>1.0080000000000001E-4</v>
      </c>
      <c r="G135" s="42">
        <v>1.6807046979865771E-3</v>
      </c>
      <c r="H135" s="40"/>
    </row>
    <row r="136" spans="1:8" ht="15" x14ac:dyDescent="0.25">
      <c r="A136" s="115"/>
      <c r="B136" s="119"/>
      <c r="C136" s="36" t="s">
        <v>93</v>
      </c>
      <c r="D136" s="39">
        <v>0.31737257852348993</v>
      </c>
      <c r="E136" s="42">
        <v>0.31568000000000002</v>
      </c>
      <c r="F136" s="42">
        <v>1.0080000000000001E-4</v>
      </c>
      <c r="G136" s="42">
        <v>1.5917785234899329E-3</v>
      </c>
      <c r="H136" s="40"/>
    </row>
    <row r="137" spans="1:8" ht="15" x14ac:dyDescent="0.25">
      <c r="A137" s="115"/>
      <c r="B137" s="117" t="s">
        <v>124</v>
      </c>
      <c r="C137" s="36" t="s">
        <v>90</v>
      </c>
      <c r="D137" s="39">
        <v>2904.9523355704696</v>
      </c>
      <c r="E137" s="46">
        <v>2632</v>
      </c>
      <c r="F137" s="46">
        <v>240.352</v>
      </c>
      <c r="G137" s="46">
        <v>32.600335570469795</v>
      </c>
      <c r="H137" s="40"/>
    </row>
    <row r="138" spans="1:8" ht="15" x14ac:dyDescent="0.25">
      <c r="A138" s="115"/>
      <c r="B138" s="118"/>
      <c r="C138" s="36" t="s">
        <v>92</v>
      </c>
      <c r="D138" s="39">
        <v>0.36548949664429531</v>
      </c>
      <c r="E138" s="42">
        <v>0.33115</v>
      </c>
      <c r="F138" s="42">
        <v>3.0240000000000003E-2</v>
      </c>
      <c r="G138" s="42">
        <v>4.0994966442953022E-3</v>
      </c>
      <c r="H138" s="40"/>
    </row>
    <row r="139" spans="1:8" ht="15" x14ac:dyDescent="0.25">
      <c r="A139" s="115"/>
      <c r="B139" s="119"/>
      <c r="C139" s="36" t="s">
        <v>93</v>
      </c>
      <c r="D139" s="39">
        <v>0.34721296644295302</v>
      </c>
      <c r="E139" s="42">
        <v>0.31458999999999998</v>
      </c>
      <c r="F139" s="42">
        <v>2.8728000000000004E-2</v>
      </c>
      <c r="G139" s="42">
        <v>3.8949664429530203E-3</v>
      </c>
      <c r="H139" s="40"/>
    </row>
    <row r="140" spans="1:8" ht="15" x14ac:dyDescent="0.25">
      <c r="A140" s="115"/>
      <c r="B140" s="117" t="s">
        <v>125</v>
      </c>
      <c r="C140" s="36" t="s">
        <v>90</v>
      </c>
      <c r="D140" s="39">
        <v>3164.6500187919464</v>
      </c>
      <c r="E140" s="46">
        <v>3144.16</v>
      </c>
      <c r="F140" s="46">
        <v>8.4672000000000001</v>
      </c>
      <c r="G140" s="46">
        <v>12.022818791946309</v>
      </c>
      <c r="H140" s="40"/>
    </row>
    <row r="141" spans="1:8" ht="15" x14ac:dyDescent="0.25">
      <c r="A141" s="115"/>
      <c r="B141" s="118"/>
      <c r="C141" s="36" t="s">
        <v>92</v>
      </c>
      <c r="D141" s="39">
        <v>0.37674971140939595</v>
      </c>
      <c r="E141" s="42">
        <v>0.37430999999999998</v>
      </c>
      <c r="F141" s="42">
        <v>1.008E-3</v>
      </c>
      <c r="G141" s="42">
        <v>1.4317114093959733E-3</v>
      </c>
      <c r="H141" s="40"/>
    </row>
    <row r="142" spans="1:8" ht="15" x14ac:dyDescent="0.25">
      <c r="A142" s="115"/>
      <c r="B142" s="119"/>
      <c r="C142" s="36" t="s">
        <v>93</v>
      </c>
      <c r="D142" s="39">
        <v>0.35790257046979868</v>
      </c>
      <c r="E142" s="42">
        <v>0.35559000000000002</v>
      </c>
      <c r="F142" s="42">
        <v>9.5200000000000005E-4</v>
      </c>
      <c r="G142" s="42">
        <v>1.3605704697986576E-3</v>
      </c>
      <c r="H142" s="40"/>
    </row>
    <row r="143" spans="1:8" ht="15" x14ac:dyDescent="0.25">
      <c r="A143" s="115"/>
      <c r="B143" s="117" t="s">
        <v>126</v>
      </c>
      <c r="C143" s="36" t="s">
        <v>90</v>
      </c>
      <c r="D143" s="39">
        <v>3386.5716751677851</v>
      </c>
      <c r="E143" s="46">
        <v>3377.05</v>
      </c>
      <c r="F143" s="46">
        <v>3.8304000000000005</v>
      </c>
      <c r="G143" s="46">
        <v>5.6912751677852356</v>
      </c>
      <c r="H143" s="40"/>
    </row>
    <row r="144" spans="1:8" ht="15" x14ac:dyDescent="0.25">
      <c r="A144" s="115"/>
      <c r="B144" s="118"/>
      <c r="C144" s="36" t="s">
        <v>92</v>
      </c>
      <c r="D144" s="39">
        <v>0.3588678979865772</v>
      </c>
      <c r="E144" s="42">
        <v>0.35786000000000001</v>
      </c>
      <c r="F144" s="42">
        <v>4.0320000000000004E-4</v>
      </c>
      <c r="G144" s="42">
        <v>6.0469798657718124E-4</v>
      </c>
      <c r="H144" s="40"/>
    </row>
    <row r="145" spans="1:12" ht="15" x14ac:dyDescent="0.25">
      <c r="A145" s="115"/>
      <c r="B145" s="119"/>
      <c r="C145" s="36" t="s">
        <v>93</v>
      </c>
      <c r="D145" s="39">
        <v>0.34091992751677852</v>
      </c>
      <c r="E145" s="42">
        <v>0.33996999999999999</v>
      </c>
      <c r="F145" s="42">
        <v>3.8080000000000004E-4</v>
      </c>
      <c r="G145" s="42">
        <v>5.6912751677852351E-4</v>
      </c>
      <c r="H145" s="40"/>
    </row>
    <row r="146" spans="1:12" ht="15" x14ac:dyDescent="0.25">
      <c r="A146" s="115"/>
      <c r="B146" s="117" t="s">
        <v>127</v>
      </c>
      <c r="C146" s="36" t="s">
        <v>90</v>
      </c>
      <c r="D146" s="39">
        <v>2195.8966979865772</v>
      </c>
      <c r="E146" s="46">
        <v>2184.02</v>
      </c>
      <c r="F146" s="46">
        <v>0.67200000000000004</v>
      </c>
      <c r="G146" s="46">
        <v>11.20469798657718</v>
      </c>
      <c r="H146" s="40"/>
    </row>
    <row r="147" spans="1:12" ht="15" x14ac:dyDescent="0.25">
      <c r="A147" s="115"/>
      <c r="B147" s="118"/>
      <c r="C147" s="36" t="s">
        <v>92</v>
      </c>
      <c r="D147" s="39">
        <v>0.33407150469798658</v>
      </c>
      <c r="E147" s="42">
        <v>0.33228999999999997</v>
      </c>
      <c r="F147" s="42">
        <v>1.0080000000000001E-4</v>
      </c>
      <c r="G147" s="42">
        <v>1.6807046979865771E-3</v>
      </c>
      <c r="H147" s="40"/>
    </row>
    <row r="148" spans="1:12" ht="15" x14ac:dyDescent="0.25">
      <c r="A148" s="116"/>
      <c r="B148" s="119"/>
      <c r="C148" s="36" t="s">
        <v>93</v>
      </c>
      <c r="D148" s="39">
        <v>0.31737257852348993</v>
      </c>
      <c r="E148" s="42">
        <v>0.31568000000000002</v>
      </c>
      <c r="F148" s="42">
        <v>1.0080000000000001E-4</v>
      </c>
      <c r="G148" s="42">
        <v>1.5917785234899329E-3</v>
      </c>
      <c r="H148" s="40"/>
    </row>
    <row r="150" spans="1:12" ht="15" x14ac:dyDescent="0.2">
      <c r="A150" s="60"/>
      <c r="B150" s="60"/>
      <c r="C150" s="60"/>
      <c r="D150" s="60"/>
      <c r="E150" s="60"/>
      <c r="F150" s="60"/>
      <c r="G150" s="60"/>
      <c r="H150" s="60"/>
      <c r="I150" s="60"/>
      <c r="J150" s="60"/>
      <c r="K150" s="60"/>
      <c r="L150" s="60"/>
    </row>
    <row r="151" spans="1:12" ht="15.75" x14ac:dyDescent="0.2">
      <c r="A151" s="107" t="s">
        <v>128</v>
      </c>
      <c r="B151" s="107"/>
      <c r="C151" s="60"/>
      <c r="D151" s="60"/>
      <c r="E151" s="60"/>
      <c r="F151" s="60"/>
      <c r="G151" s="60"/>
      <c r="H151" s="60"/>
      <c r="I151" s="60"/>
      <c r="J151" s="60"/>
      <c r="K151" s="60"/>
      <c r="L151" s="60"/>
    </row>
    <row r="152" spans="1:12" ht="15" x14ac:dyDescent="0.2">
      <c r="A152" s="108" t="s">
        <v>129</v>
      </c>
      <c r="B152" s="108"/>
      <c r="C152" s="108"/>
      <c r="D152" s="108"/>
      <c r="E152" s="108"/>
      <c r="F152" s="108"/>
      <c r="G152" s="108"/>
      <c r="H152" s="108"/>
      <c r="I152" s="108"/>
      <c r="J152" s="108"/>
      <c r="K152" s="108"/>
      <c r="L152" s="61"/>
    </row>
    <row r="153" spans="1:12" ht="25.5" customHeight="1" x14ac:dyDescent="0.2">
      <c r="A153" s="109" t="s">
        <v>130</v>
      </c>
      <c r="B153" s="110"/>
      <c r="C153" s="110"/>
      <c r="D153" s="110"/>
      <c r="E153" s="110"/>
      <c r="F153" s="110"/>
      <c r="G153" s="110"/>
      <c r="H153" s="110"/>
      <c r="I153" s="110"/>
      <c r="J153" s="110"/>
      <c r="K153" s="110"/>
      <c r="L153" s="33"/>
    </row>
    <row r="154" spans="1:12" ht="17.25" customHeight="1" x14ac:dyDescent="0.2">
      <c r="A154" s="108" t="s">
        <v>131</v>
      </c>
      <c r="B154" s="108"/>
      <c r="C154" s="108"/>
      <c r="D154" s="108"/>
      <c r="E154" s="108"/>
      <c r="F154" s="108"/>
      <c r="G154" s="108"/>
      <c r="H154" s="108"/>
      <c r="I154" s="108"/>
      <c r="J154" s="108"/>
      <c r="K154" s="108"/>
      <c r="L154" s="61"/>
    </row>
    <row r="155" spans="1:12" s="16" customFormat="1" ht="115.5" customHeight="1" x14ac:dyDescent="0.2">
      <c r="A155" s="105" t="s">
        <v>132</v>
      </c>
      <c r="B155" s="105"/>
      <c r="C155" s="105"/>
      <c r="D155" s="105"/>
      <c r="E155" s="105"/>
      <c r="F155" s="105"/>
      <c r="G155" s="105"/>
      <c r="H155" s="105"/>
      <c r="I155" s="105"/>
      <c r="J155" s="105"/>
      <c r="K155" s="105"/>
      <c r="L155" s="61"/>
    </row>
    <row r="156" spans="1:12" ht="17.25" customHeight="1" x14ac:dyDescent="0.2"/>
    <row r="157" spans="1:12" s="16" customFormat="1" ht="15" x14ac:dyDescent="0.2">
      <c r="A157" s="108" t="s">
        <v>133</v>
      </c>
      <c r="B157" s="108"/>
      <c r="C157" s="108"/>
      <c r="D157" s="108"/>
      <c r="E157" s="108"/>
      <c r="F157" s="108"/>
      <c r="G157" s="108"/>
      <c r="H157" s="108"/>
      <c r="I157" s="108"/>
      <c r="J157" s="108"/>
      <c r="K157" s="108"/>
      <c r="L157" s="61"/>
    </row>
    <row r="158" spans="1:12" ht="108.75" customHeight="1" x14ac:dyDescent="0.2">
      <c r="A158" s="105" t="s">
        <v>134</v>
      </c>
      <c r="B158" s="105"/>
      <c r="C158" s="105"/>
      <c r="D158" s="105"/>
      <c r="E158" s="105"/>
      <c r="F158" s="105"/>
      <c r="G158" s="105"/>
      <c r="H158" s="105"/>
      <c r="I158" s="105"/>
      <c r="J158" s="105"/>
      <c r="K158" s="105"/>
      <c r="L158" s="61"/>
    </row>
    <row r="160" spans="1:12" s="16" customFormat="1" ht="20.25" customHeight="1" x14ac:dyDescent="0.2">
      <c r="A160" s="106" t="s">
        <v>135</v>
      </c>
      <c r="B160" s="106"/>
      <c r="C160" s="106"/>
      <c r="D160" s="106"/>
      <c r="E160" s="106"/>
      <c r="F160" s="106"/>
      <c r="G160" s="106"/>
      <c r="H160" s="106"/>
      <c r="I160" s="106"/>
      <c r="J160" s="106"/>
      <c r="K160" s="106"/>
      <c r="L160" s="106"/>
    </row>
  </sheetData>
  <mergeCells count="55">
    <mergeCell ref="M12:X12"/>
    <mergeCell ref="A13:L13"/>
    <mergeCell ref="A19:L19"/>
    <mergeCell ref="A8:L8"/>
    <mergeCell ref="A10:L10"/>
    <mergeCell ref="A11:L11"/>
    <mergeCell ref="A12:L12"/>
    <mergeCell ref="A14:L14"/>
    <mergeCell ref="A15:L15"/>
    <mergeCell ref="A16:L16"/>
    <mergeCell ref="A17:L17"/>
    <mergeCell ref="A18:L18"/>
    <mergeCell ref="A20:L20"/>
    <mergeCell ref="A23:A54"/>
    <mergeCell ref="B23:B26"/>
    <mergeCell ref="B27:B30"/>
    <mergeCell ref="B31:B34"/>
    <mergeCell ref="B35:B38"/>
    <mergeCell ref="B39:B42"/>
    <mergeCell ref="B43:B46"/>
    <mergeCell ref="B47:B50"/>
    <mergeCell ref="B51:B54"/>
    <mergeCell ref="B115:B118"/>
    <mergeCell ref="A59:A126"/>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9:B122"/>
    <mergeCell ref="B123:B126"/>
    <mergeCell ref="A131:A148"/>
    <mergeCell ref="B131:B133"/>
    <mergeCell ref="B134:B136"/>
    <mergeCell ref="B137:B139"/>
    <mergeCell ref="B140:B142"/>
    <mergeCell ref="B143:B145"/>
    <mergeCell ref="B146:B148"/>
    <mergeCell ref="A158:K158"/>
    <mergeCell ref="A160:L160"/>
    <mergeCell ref="A151:B151"/>
    <mergeCell ref="A152:K152"/>
    <mergeCell ref="A153:K153"/>
    <mergeCell ref="A154:K154"/>
    <mergeCell ref="A155:K155"/>
    <mergeCell ref="A157:K157"/>
  </mergeCells>
  <hyperlinks>
    <hyperlink ref="A153:K153" location="Conversions!A1" display="Defra provide a specific conversion table at the back of these listings to allow organisations to convert the conversion factors into different units where required.   Please see the ‘conversions’ listing." xr:uid="{69427EFC-DD7C-4667-BAA6-78EDE8FB2D8D}"/>
    <hyperlink ref="A3" location="Index!A1" display="Index" xr:uid="{E7EA9181-85F0-4817-8CD8-97860887523C}"/>
    <hyperlink ref="A20:L20" location="'Outside of scopes'!A1" display="(For more information refer to the ‘outside of scopes’ tab for guidance)." xr:uid="{8000EF1E-EE4E-438D-BE42-7723E8F93882}"/>
    <hyperlink ref="A12:L12" r:id="rId1" display="●  'Diesel (average biofuel blend)'/'diesel (100% mineral oil)' - typically organisations purchasing forecourt fuel should use 'diesel (average biofuel blend)'. It should be noted that any fuel an organisation reports in Scope 1 that has biofuel content m" xr:uid="{6239670D-45E2-4B4A-A159-47A8A20AB527}"/>
  </hyperlinks>
  <pageMargins left="0.7" right="0.7" top="0.75" bottom="0.75" header="0.3" footer="0.3"/>
  <pageSetup paperSize="9" scale="37" fitToHeight="0" orientation="landscape" r:id="rId2"/>
  <headerFooter alignWithMargins="0"/>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BCE6-CDB5-465E-9E80-7CDF03E77472}">
  <sheetPr>
    <tabColor theme="9" tint="0.39997558519241921"/>
    <pageSetUpPr fitToPage="1"/>
  </sheetPr>
  <dimension ref="A1:X160"/>
  <sheetViews>
    <sheetView topLeftCell="A18" zoomScaleNormal="100" workbookViewId="0">
      <selection activeCell="D42" sqref="D42"/>
    </sheetView>
  </sheetViews>
  <sheetFormatPr defaultColWidth="11.28515625" defaultRowHeight="12.75" x14ac:dyDescent="0.2"/>
  <cols>
    <col min="1" max="1" width="16.5703125" style="16" customWidth="1"/>
    <col min="2" max="2" width="31.5703125" style="16" customWidth="1"/>
    <col min="3" max="3" width="14.5703125" style="16" customWidth="1"/>
    <col min="4" max="4" width="13" style="16" customWidth="1"/>
    <col min="5" max="5" width="23.7109375" style="16" bestFit="1" customWidth="1"/>
    <col min="6" max="6" width="23.42578125" style="16" bestFit="1" customWidth="1"/>
    <col min="7" max="7" width="23.7109375" style="16" bestFit="1" customWidth="1"/>
    <col min="8" max="8" width="41.5703125" style="16" customWidth="1"/>
    <col min="9" max="19" width="13.42578125" style="16" customWidth="1"/>
    <col min="20" max="24" width="11.28515625" style="16"/>
    <col min="25" max="16384" width="11.28515625" style="17"/>
  </cols>
  <sheetData>
    <row r="1" spans="1:24" s="14" customFormat="1" ht="11.25" x14ac:dyDescent="0.2">
      <c r="A1" s="14" t="s">
        <v>58</v>
      </c>
    </row>
    <row r="2" spans="1:24" ht="21" x14ac:dyDescent="0.35">
      <c r="A2" s="15" t="s">
        <v>59</v>
      </c>
      <c r="B2" s="15"/>
      <c r="C2" s="15"/>
      <c r="D2" s="15"/>
      <c r="E2" s="15"/>
      <c r="F2" s="15"/>
    </row>
    <row r="3" spans="1:24" x14ac:dyDescent="0.2">
      <c r="A3" s="18" t="s">
        <v>60</v>
      </c>
    </row>
    <row r="4" spans="1:24" s="21" customFormat="1" ht="7.5" thickBot="1" x14ac:dyDescent="0.2">
      <c r="A4" s="19"/>
      <c r="B4" s="19"/>
      <c r="C4" s="19"/>
      <c r="D4" s="19"/>
      <c r="E4" s="19"/>
      <c r="F4" s="20"/>
      <c r="G4" s="20"/>
      <c r="H4" s="20"/>
      <c r="I4" s="19"/>
      <c r="J4" s="19"/>
      <c r="K4" s="19"/>
      <c r="L4" s="19"/>
      <c r="M4" s="19"/>
      <c r="N4" s="19"/>
      <c r="O4" s="19"/>
      <c r="P4" s="19"/>
      <c r="Q4" s="19"/>
      <c r="R4" s="19"/>
      <c r="S4" s="19"/>
      <c r="T4" s="19"/>
      <c r="U4" s="19"/>
      <c r="V4" s="19"/>
      <c r="W4" s="19"/>
      <c r="X4" s="19"/>
    </row>
    <row r="5" spans="1:24" ht="31.35" customHeight="1" thickTop="1" x14ac:dyDescent="0.2">
      <c r="A5" s="22" t="s">
        <v>61</v>
      </c>
      <c r="B5" s="23" t="s">
        <v>59</v>
      </c>
      <c r="C5" s="22" t="s">
        <v>62</v>
      </c>
      <c r="D5" s="24">
        <v>45818</v>
      </c>
      <c r="E5" s="25" t="s">
        <v>63</v>
      </c>
      <c r="F5" s="24" t="s">
        <v>64</v>
      </c>
    </row>
    <row r="6" spans="1:24" ht="14.25" thickBot="1" x14ac:dyDescent="0.3">
      <c r="A6" s="26" t="s">
        <v>65</v>
      </c>
      <c r="B6" s="27" t="s">
        <v>66</v>
      </c>
      <c r="C6" s="28" t="s">
        <v>67</v>
      </c>
      <c r="D6" s="29">
        <v>1.1000000000000001</v>
      </c>
      <c r="E6" s="28" t="s">
        <v>68</v>
      </c>
      <c r="F6" s="30">
        <v>2024</v>
      </c>
    </row>
    <row r="7" spans="1:24" ht="14.25" thickTop="1" thickBot="1" x14ac:dyDescent="0.25"/>
    <row r="8" spans="1:24" ht="16.5" thickTop="1" thickBot="1" x14ac:dyDescent="0.3">
      <c r="A8" s="132" t="s">
        <v>69</v>
      </c>
      <c r="B8" s="133"/>
      <c r="C8" s="133"/>
      <c r="D8" s="133"/>
      <c r="E8" s="133"/>
      <c r="F8" s="133"/>
      <c r="G8" s="133"/>
      <c r="H8" s="133"/>
      <c r="I8" s="133"/>
      <c r="J8" s="133"/>
      <c r="K8" s="133"/>
      <c r="L8" s="134"/>
      <c r="M8" s="31"/>
    </row>
    <row r="9" spans="1:24" ht="15.75" thickTop="1" x14ac:dyDescent="0.25">
      <c r="A9" s="32"/>
      <c r="B9" s="32"/>
      <c r="C9" s="32"/>
      <c r="D9" s="32"/>
      <c r="E9" s="32"/>
      <c r="F9" s="32"/>
      <c r="G9" s="32"/>
      <c r="H9" s="33"/>
      <c r="I9" s="33"/>
      <c r="J9" s="33"/>
      <c r="K9" s="33"/>
      <c r="L9" s="33"/>
      <c r="M9" s="31"/>
    </row>
    <row r="10" spans="1:24" ht="15.75" x14ac:dyDescent="0.25">
      <c r="A10" s="135" t="s">
        <v>70</v>
      </c>
      <c r="B10" s="135"/>
      <c r="C10" s="135"/>
      <c r="D10" s="135"/>
      <c r="E10" s="135"/>
      <c r="F10" s="135"/>
      <c r="G10" s="135"/>
      <c r="H10" s="135"/>
      <c r="I10" s="135"/>
      <c r="J10" s="135"/>
      <c r="K10" s="135"/>
      <c r="L10" s="135"/>
      <c r="M10" s="31"/>
    </row>
    <row r="11" spans="1:24" ht="110.65" customHeight="1" x14ac:dyDescent="0.2">
      <c r="A11" s="105" t="s">
        <v>158</v>
      </c>
      <c r="B11" s="105"/>
      <c r="C11" s="105"/>
      <c r="D11" s="105"/>
      <c r="E11" s="105"/>
      <c r="F11" s="105"/>
      <c r="G11" s="105"/>
      <c r="H11" s="105"/>
      <c r="I11" s="105"/>
      <c r="J11" s="105"/>
      <c r="K11" s="105"/>
      <c r="L11" s="105"/>
      <c r="M11" s="34"/>
    </row>
    <row r="12" spans="1:24" ht="96.75" customHeight="1" x14ac:dyDescent="0.2">
      <c r="A12" s="105" t="s">
        <v>72</v>
      </c>
      <c r="B12" s="105"/>
      <c r="C12" s="105"/>
      <c r="D12" s="105"/>
      <c r="E12" s="105"/>
      <c r="F12" s="105"/>
      <c r="G12" s="105"/>
      <c r="H12" s="105"/>
      <c r="I12" s="105"/>
      <c r="J12" s="105"/>
      <c r="K12" s="105"/>
      <c r="L12" s="105"/>
      <c r="M12" s="136"/>
      <c r="N12" s="137"/>
      <c r="O12" s="137"/>
      <c r="P12" s="137"/>
      <c r="Q12" s="137"/>
      <c r="R12" s="137"/>
      <c r="S12" s="137"/>
      <c r="T12" s="137"/>
      <c r="U12" s="137"/>
      <c r="V12" s="137"/>
      <c r="W12" s="137"/>
      <c r="X12" s="137"/>
    </row>
    <row r="13" spans="1:24" ht="63.75" customHeight="1" x14ac:dyDescent="0.2">
      <c r="A13" s="105" t="s">
        <v>73</v>
      </c>
      <c r="B13" s="105"/>
      <c r="C13" s="105"/>
      <c r="D13" s="105"/>
      <c r="E13" s="105"/>
      <c r="F13" s="105"/>
      <c r="G13" s="105"/>
      <c r="H13" s="105"/>
      <c r="I13" s="105"/>
      <c r="J13" s="105"/>
      <c r="K13" s="105"/>
      <c r="L13" s="105"/>
      <c r="M13" s="34"/>
    </row>
    <row r="14" spans="1:24" ht="15.75" x14ac:dyDescent="0.25">
      <c r="A14" s="130" t="s">
        <v>74</v>
      </c>
      <c r="B14" s="131"/>
      <c r="C14" s="131"/>
      <c r="D14" s="131"/>
      <c r="E14" s="131"/>
      <c r="F14" s="131"/>
      <c r="G14" s="131"/>
      <c r="H14" s="131"/>
      <c r="I14" s="131"/>
      <c r="J14" s="131"/>
      <c r="K14" s="131"/>
      <c r="L14" s="131"/>
      <c r="M14" s="31"/>
    </row>
    <row r="15" spans="1:24" ht="15" customHeight="1" x14ac:dyDescent="0.25">
      <c r="A15" s="105" t="s">
        <v>75</v>
      </c>
      <c r="B15" s="105"/>
      <c r="C15" s="105"/>
      <c r="D15" s="105"/>
      <c r="E15" s="105"/>
      <c r="F15" s="105"/>
      <c r="G15" s="105"/>
      <c r="H15" s="105"/>
      <c r="I15" s="105"/>
      <c r="J15" s="105"/>
      <c r="K15" s="105"/>
      <c r="L15" s="105"/>
      <c r="M15" s="31"/>
    </row>
    <row r="16" spans="1:24" ht="22.35" customHeight="1" x14ac:dyDescent="0.25">
      <c r="A16" s="105" t="s">
        <v>76</v>
      </c>
      <c r="B16" s="105"/>
      <c r="C16" s="105"/>
      <c r="D16" s="105"/>
      <c r="E16" s="105"/>
      <c r="F16" s="105"/>
      <c r="G16" s="105"/>
      <c r="H16" s="105"/>
      <c r="I16" s="105"/>
      <c r="J16" s="105"/>
      <c r="K16" s="105"/>
      <c r="L16" s="105"/>
      <c r="M16" s="31"/>
    </row>
    <row r="17" spans="1:13" s="16" customFormat="1" ht="45" customHeight="1" x14ac:dyDescent="0.25">
      <c r="A17" s="105" t="s">
        <v>77</v>
      </c>
      <c r="B17" s="105"/>
      <c r="C17" s="105"/>
      <c r="D17" s="105"/>
      <c r="E17" s="105"/>
      <c r="F17" s="105"/>
      <c r="G17" s="105"/>
      <c r="H17" s="105"/>
      <c r="I17" s="105"/>
      <c r="J17" s="105"/>
      <c r="K17" s="105"/>
      <c r="L17" s="105"/>
      <c r="M17" s="31"/>
    </row>
    <row r="18" spans="1:13" s="16" customFormat="1" ht="53.65" customHeight="1" x14ac:dyDescent="0.25">
      <c r="A18" s="105" t="s">
        <v>159</v>
      </c>
      <c r="B18" s="105"/>
      <c r="C18" s="105"/>
      <c r="D18" s="105"/>
      <c r="E18" s="105"/>
      <c r="F18" s="105"/>
      <c r="G18" s="105"/>
      <c r="H18" s="105"/>
      <c r="I18" s="105"/>
      <c r="J18" s="105"/>
      <c r="K18" s="105"/>
      <c r="L18" s="105"/>
      <c r="M18" s="31"/>
    </row>
    <row r="19" spans="1:13" s="16" customFormat="1" ht="51.75" customHeight="1" x14ac:dyDescent="0.25">
      <c r="A19" s="105" t="s">
        <v>79</v>
      </c>
      <c r="B19" s="105"/>
      <c r="C19" s="105"/>
      <c r="D19" s="105"/>
      <c r="E19" s="105"/>
      <c r="F19" s="105"/>
      <c r="G19" s="105"/>
      <c r="H19" s="105"/>
      <c r="I19" s="105"/>
      <c r="J19" s="105"/>
      <c r="K19" s="105"/>
      <c r="L19" s="105"/>
      <c r="M19" s="31"/>
    </row>
    <row r="20" spans="1:13" s="16" customFormat="1" ht="32.25" customHeight="1" x14ac:dyDescent="0.25">
      <c r="A20" s="126" t="s">
        <v>80</v>
      </c>
      <c r="B20" s="126"/>
      <c r="C20" s="126"/>
      <c r="D20" s="126"/>
      <c r="E20" s="126"/>
      <c r="F20" s="126"/>
      <c r="G20" s="126"/>
      <c r="H20" s="126"/>
      <c r="I20" s="126"/>
      <c r="J20" s="126"/>
      <c r="K20" s="126"/>
      <c r="L20" s="126"/>
      <c r="M20" s="31"/>
    </row>
    <row r="21" spans="1:13" s="16" customFormat="1" ht="15" x14ac:dyDescent="0.25">
      <c r="A21" s="33"/>
      <c r="B21" s="33"/>
      <c r="C21" s="33"/>
      <c r="D21" s="33"/>
      <c r="E21" s="33"/>
      <c r="F21" s="33"/>
      <c r="G21" s="33"/>
      <c r="H21" s="33"/>
      <c r="I21" s="33"/>
      <c r="J21" s="33"/>
      <c r="K21" s="33"/>
      <c r="L21" s="33"/>
      <c r="M21" s="31"/>
    </row>
    <row r="22" spans="1:13" s="16" customFormat="1" ht="18" customHeight="1" x14ac:dyDescent="0.35">
      <c r="A22" s="35" t="s">
        <v>81</v>
      </c>
      <c r="B22" s="35" t="s">
        <v>82</v>
      </c>
      <c r="C22" s="35" t="s">
        <v>83</v>
      </c>
      <c r="D22" s="36" t="s">
        <v>84</v>
      </c>
      <c r="E22" s="36" t="s">
        <v>85</v>
      </c>
      <c r="F22" s="37" t="s">
        <v>86</v>
      </c>
      <c r="G22" s="37" t="s">
        <v>87</v>
      </c>
      <c r="H22" s="38"/>
      <c r="I22" s="33"/>
      <c r="J22" s="33"/>
      <c r="K22" s="33"/>
      <c r="L22" s="33"/>
      <c r="M22" s="31"/>
    </row>
    <row r="23" spans="1:13" s="16" customFormat="1" ht="15" x14ac:dyDescent="0.25">
      <c r="A23" s="127" t="s">
        <v>88</v>
      </c>
      <c r="B23" s="123" t="s">
        <v>89</v>
      </c>
      <c r="C23" s="36" t="s">
        <v>90</v>
      </c>
      <c r="D23" s="80">
        <v>3033.38067</v>
      </c>
      <c r="E23" s="80">
        <v>3029.26</v>
      </c>
      <c r="F23" s="80">
        <v>2.52</v>
      </c>
      <c r="G23" s="80">
        <v>1.60067</v>
      </c>
      <c r="H23" s="40"/>
      <c r="I23" s="33"/>
      <c r="J23" s="81"/>
      <c r="K23" s="81"/>
      <c r="L23" s="81"/>
      <c r="M23" s="81"/>
    </row>
    <row r="24" spans="1:13" s="16" customFormat="1" ht="15" x14ac:dyDescent="0.25">
      <c r="A24" s="128"/>
      <c r="B24" s="124" t="s">
        <v>89</v>
      </c>
      <c r="C24" s="36" t="s">
        <v>91</v>
      </c>
      <c r="D24" s="80">
        <v>1.74532</v>
      </c>
      <c r="E24" s="80">
        <v>1.7429600000000001</v>
      </c>
      <c r="F24" s="80">
        <v>1.4400000000000001E-3</v>
      </c>
      <c r="G24" s="80">
        <v>9.2000000000000003E-4</v>
      </c>
      <c r="H24" s="40"/>
      <c r="I24" s="41"/>
      <c r="J24" s="81"/>
      <c r="K24" s="81"/>
      <c r="L24" s="81"/>
      <c r="M24" s="81"/>
    </row>
    <row r="25" spans="1:13" s="16" customFormat="1" ht="15" x14ac:dyDescent="0.25">
      <c r="A25" s="128"/>
      <c r="B25" s="124" t="s">
        <v>89</v>
      </c>
      <c r="C25" s="36" t="s">
        <v>92</v>
      </c>
      <c r="D25" s="80">
        <v>0.24106</v>
      </c>
      <c r="E25" s="80">
        <v>0.24074000000000001</v>
      </c>
      <c r="F25" s="80">
        <v>2.0000000000000001E-4</v>
      </c>
      <c r="G25" s="80">
        <v>1.2E-4</v>
      </c>
      <c r="H25" s="40"/>
      <c r="I25" s="33"/>
      <c r="J25" s="81"/>
      <c r="K25" s="81"/>
      <c r="L25" s="81"/>
      <c r="M25" s="81"/>
    </row>
    <row r="26" spans="1:13" s="16" customFormat="1" ht="15" x14ac:dyDescent="0.25">
      <c r="A26" s="128"/>
      <c r="B26" s="125" t="s">
        <v>89</v>
      </c>
      <c r="C26" s="36" t="s">
        <v>93</v>
      </c>
      <c r="D26" s="80">
        <v>0.22241</v>
      </c>
      <c r="E26" s="80">
        <v>0.22209999999999999</v>
      </c>
      <c r="F26" s="80">
        <v>1.9000000000000001E-4</v>
      </c>
      <c r="G26" s="80">
        <v>1.2E-4</v>
      </c>
      <c r="H26" s="40"/>
      <c r="I26" s="33"/>
      <c r="J26" s="81"/>
      <c r="K26" s="81"/>
      <c r="L26" s="81"/>
      <c r="M26" s="81"/>
    </row>
    <row r="27" spans="1:13" s="16" customFormat="1" ht="15" x14ac:dyDescent="0.25">
      <c r="A27" s="128"/>
      <c r="B27" s="123" t="s">
        <v>94</v>
      </c>
      <c r="C27" s="36" t="s">
        <v>90</v>
      </c>
      <c r="D27" s="80">
        <v>2568.1644099999999</v>
      </c>
      <c r="E27" s="80">
        <v>2563.12</v>
      </c>
      <c r="F27" s="80">
        <v>3.8527999999999998</v>
      </c>
      <c r="G27" s="80">
        <v>1.1916100000000001</v>
      </c>
      <c r="H27" s="40"/>
      <c r="J27" s="81"/>
      <c r="K27" s="81"/>
      <c r="L27" s="81"/>
      <c r="M27" s="81"/>
    </row>
    <row r="28" spans="1:13" s="16" customFormat="1" ht="15" x14ac:dyDescent="0.25">
      <c r="A28" s="128"/>
      <c r="B28" s="124"/>
      <c r="C28" s="36" t="s">
        <v>91</v>
      </c>
      <c r="D28" s="80">
        <v>0.44941999999999999</v>
      </c>
      <c r="E28" s="80">
        <v>0.44855</v>
      </c>
      <c r="F28" s="80">
        <v>6.7000000000000002E-4</v>
      </c>
      <c r="G28" s="80">
        <v>2.0000000000000001E-4</v>
      </c>
      <c r="H28" s="40"/>
      <c r="J28" s="81"/>
      <c r="K28" s="81"/>
      <c r="L28" s="81"/>
      <c r="M28" s="81"/>
    </row>
    <row r="29" spans="1:13" s="16" customFormat="1" ht="15" x14ac:dyDescent="0.25">
      <c r="A29" s="128"/>
      <c r="B29" s="124"/>
      <c r="C29" s="36" t="s">
        <v>92</v>
      </c>
      <c r="D29" s="80">
        <v>0.20263999999999999</v>
      </c>
      <c r="E29" s="80">
        <v>0.20222999999999999</v>
      </c>
      <c r="F29" s="80">
        <v>3.1E-4</v>
      </c>
      <c r="G29" s="80">
        <v>1E-4</v>
      </c>
      <c r="H29" s="40"/>
      <c r="J29" s="81"/>
      <c r="K29" s="81"/>
      <c r="L29" s="81"/>
      <c r="M29" s="81"/>
    </row>
    <row r="30" spans="1:13" s="16" customFormat="1" ht="15" x14ac:dyDescent="0.25">
      <c r="A30" s="128"/>
      <c r="B30" s="125"/>
      <c r="C30" s="36" t="s">
        <v>93</v>
      </c>
      <c r="D30" s="80">
        <v>0.18290000000000001</v>
      </c>
      <c r="E30" s="80">
        <v>0.18253</v>
      </c>
      <c r="F30" s="80">
        <v>2.7999999999999998E-4</v>
      </c>
      <c r="G30" s="80">
        <v>9.0000000000000006E-5</v>
      </c>
      <c r="H30" s="40"/>
      <c r="J30" s="81"/>
      <c r="K30" s="81"/>
      <c r="L30" s="81"/>
      <c r="M30" s="81"/>
    </row>
    <row r="31" spans="1:13" s="16" customFormat="1" ht="15" x14ac:dyDescent="0.25">
      <c r="A31" s="128"/>
      <c r="B31" s="123" t="s">
        <v>95</v>
      </c>
      <c r="C31" s="36" t="s">
        <v>90</v>
      </c>
      <c r="D31" s="80">
        <v>2590.46441</v>
      </c>
      <c r="E31" s="80">
        <v>2585.42</v>
      </c>
      <c r="F31" s="80">
        <v>3.8527999999999998</v>
      </c>
      <c r="G31" s="80">
        <v>1.1916100000000001</v>
      </c>
      <c r="H31" s="40"/>
      <c r="J31" s="81"/>
      <c r="K31" s="81"/>
      <c r="L31" s="81"/>
      <c r="M31" s="81"/>
    </row>
    <row r="32" spans="1:13" s="16" customFormat="1" ht="15" x14ac:dyDescent="0.25">
      <c r="A32" s="128"/>
      <c r="B32" s="124"/>
      <c r="C32" s="36" t="s">
        <v>91</v>
      </c>
      <c r="D32" s="80">
        <v>1.1721600000000001</v>
      </c>
      <c r="E32" s="80">
        <v>1.16987</v>
      </c>
      <c r="F32" s="80">
        <v>1.75E-3</v>
      </c>
      <c r="G32" s="80">
        <v>5.4000000000000001E-4</v>
      </c>
      <c r="H32" s="40"/>
      <c r="J32" s="81"/>
      <c r="K32" s="81"/>
      <c r="L32" s="81"/>
      <c r="M32" s="81"/>
    </row>
    <row r="33" spans="1:13" s="16" customFormat="1" ht="15" x14ac:dyDescent="0.25">
      <c r="A33" s="128"/>
      <c r="B33" s="124"/>
      <c r="C33" s="36" t="s">
        <v>92</v>
      </c>
      <c r="D33" s="80">
        <v>0.2044</v>
      </c>
      <c r="E33" s="82">
        <v>0.20399</v>
      </c>
      <c r="F33" s="80">
        <v>3.1E-4</v>
      </c>
      <c r="G33" s="80">
        <v>1E-4</v>
      </c>
      <c r="H33" s="40"/>
      <c r="J33" s="81"/>
      <c r="K33" s="81"/>
      <c r="L33" s="81"/>
      <c r="M33" s="81"/>
    </row>
    <row r="34" spans="1:13" s="16" customFormat="1" ht="15" x14ac:dyDescent="0.25">
      <c r="A34" s="128"/>
      <c r="B34" s="125"/>
      <c r="C34" s="36" t="s">
        <v>93</v>
      </c>
      <c r="D34" s="80">
        <v>0.18448999999999999</v>
      </c>
      <c r="E34" s="80">
        <v>0.18412000000000001</v>
      </c>
      <c r="F34" s="80">
        <v>2.7999999999999998E-4</v>
      </c>
      <c r="G34" s="80">
        <v>9.0000000000000006E-5</v>
      </c>
      <c r="H34" s="40"/>
      <c r="J34" s="81"/>
      <c r="K34" s="81"/>
      <c r="L34" s="81"/>
      <c r="M34" s="81"/>
    </row>
    <row r="35" spans="1:13" s="16" customFormat="1" ht="15" x14ac:dyDescent="0.25">
      <c r="A35" s="128"/>
      <c r="B35" s="123" t="s">
        <v>96</v>
      </c>
      <c r="C35" s="36" t="s">
        <v>90</v>
      </c>
      <c r="D35" s="80">
        <v>2939.3609499999998</v>
      </c>
      <c r="E35" s="80">
        <v>2935.18</v>
      </c>
      <c r="F35" s="80">
        <v>2.5535999999999999</v>
      </c>
      <c r="G35" s="80">
        <v>1.6273500000000001</v>
      </c>
      <c r="H35" s="40"/>
      <c r="J35" s="81"/>
      <c r="K35" s="81"/>
      <c r="L35" s="81"/>
      <c r="M35" s="81"/>
    </row>
    <row r="36" spans="1:13" s="16" customFormat="1" ht="15" x14ac:dyDescent="0.25">
      <c r="A36" s="128"/>
      <c r="B36" s="124"/>
      <c r="C36" s="36" t="s">
        <v>91</v>
      </c>
      <c r="D36" s="80">
        <v>1.5571299999999999</v>
      </c>
      <c r="E36" s="80">
        <v>1.55491</v>
      </c>
      <c r="F36" s="80">
        <v>1.3600000000000001E-3</v>
      </c>
      <c r="G36" s="80">
        <v>8.5999999999999998E-4</v>
      </c>
      <c r="H36" s="40"/>
      <c r="J36" s="81"/>
      <c r="K36" s="81"/>
      <c r="L36" s="81"/>
      <c r="M36" s="81"/>
    </row>
    <row r="37" spans="1:13" s="16" customFormat="1" ht="15" x14ac:dyDescent="0.25">
      <c r="A37" s="128"/>
      <c r="B37" s="124"/>
      <c r="C37" s="36" t="s">
        <v>92</v>
      </c>
      <c r="D37" s="80">
        <v>0.23030999999999999</v>
      </c>
      <c r="E37" s="80">
        <v>0.22999</v>
      </c>
      <c r="F37" s="80">
        <v>2.0000000000000001E-4</v>
      </c>
      <c r="G37" s="80">
        <v>1.2E-4</v>
      </c>
      <c r="H37" s="40"/>
      <c r="J37" s="81"/>
      <c r="K37" s="81"/>
      <c r="L37" s="81"/>
      <c r="M37" s="81"/>
    </row>
    <row r="38" spans="1:13" s="16" customFormat="1" ht="15" x14ac:dyDescent="0.25">
      <c r="A38" s="128"/>
      <c r="B38" s="125"/>
      <c r="C38" s="36" t="s">
        <v>93</v>
      </c>
      <c r="D38" s="80">
        <v>0.2145</v>
      </c>
      <c r="E38" s="80">
        <v>0.21418999999999999</v>
      </c>
      <c r="F38" s="80">
        <v>1.9000000000000001E-4</v>
      </c>
      <c r="G38" s="80">
        <v>1.2E-4</v>
      </c>
      <c r="H38" s="40"/>
      <c r="J38" s="81"/>
      <c r="K38" s="81"/>
      <c r="L38" s="81"/>
      <c r="M38" s="81"/>
    </row>
    <row r="39" spans="1:13" s="16" customFormat="1" ht="15" x14ac:dyDescent="0.25">
      <c r="A39" s="128"/>
      <c r="B39" s="123" t="s">
        <v>97</v>
      </c>
      <c r="C39" s="36" t="s">
        <v>90</v>
      </c>
      <c r="D39" s="80">
        <v>2568.1644099999999</v>
      </c>
      <c r="E39" s="80">
        <v>2563.12</v>
      </c>
      <c r="F39" s="80">
        <v>3.8527999999999998</v>
      </c>
      <c r="G39" s="80">
        <v>1.1916100000000001</v>
      </c>
      <c r="H39" s="40"/>
      <c r="J39" s="81"/>
      <c r="K39" s="81"/>
      <c r="L39" s="81"/>
      <c r="M39" s="81"/>
    </row>
    <row r="40" spans="1:13" s="16" customFormat="1" ht="15" x14ac:dyDescent="0.25">
      <c r="A40" s="128"/>
      <c r="B40" s="124"/>
      <c r="C40" s="36" t="s">
        <v>98</v>
      </c>
      <c r="D40" s="80">
        <v>2.04542</v>
      </c>
      <c r="E40" s="80">
        <v>2.0413999999999999</v>
      </c>
      <c r="F40" s="80">
        <v>3.0699999999999998E-3</v>
      </c>
      <c r="G40" s="80">
        <v>9.5E-4</v>
      </c>
      <c r="H40" s="40"/>
      <c r="J40" s="81"/>
      <c r="K40" s="81"/>
      <c r="L40" s="81"/>
      <c r="M40" s="81"/>
    </row>
    <row r="41" spans="1:13" s="16" customFormat="1" ht="15" x14ac:dyDescent="0.25">
      <c r="A41" s="128"/>
      <c r="B41" s="124"/>
      <c r="C41" s="36" t="s">
        <v>92</v>
      </c>
      <c r="D41" s="80">
        <v>0.20263999999999999</v>
      </c>
      <c r="E41" s="80">
        <v>0.20222999999999999</v>
      </c>
      <c r="F41" s="80">
        <v>3.1E-4</v>
      </c>
      <c r="G41" s="80">
        <v>1E-4</v>
      </c>
      <c r="H41" s="40"/>
      <c r="J41" s="81"/>
      <c r="K41" s="81"/>
      <c r="L41" s="81"/>
      <c r="M41" s="81"/>
    </row>
    <row r="42" spans="1:13" s="16" customFormat="1" ht="15" x14ac:dyDescent="0.25">
      <c r="A42" s="128"/>
      <c r="B42" s="125"/>
      <c r="C42" s="36" t="s">
        <v>93</v>
      </c>
      <c r="D42" s="94">
        <v>0.18290000000000001</v>
      </c>
      <c r="E42" s="80">
        <v>0.18253</v>
      </c>
      <c r="F42" s="80">
        <v>2.7999999999999998E-4</v>
      </c>
      <c r="G42" s="80">
        <v>9.0000000000000006E-5</v>
      </c>
      <c r="H42" s="40"/>
      <c r="J42" s="81"/>
      <c r="K42" s="81"/>
      <c r="L42" s="81"/>
      <c r="M42" s="81"/>
    </row>
    <row r="43" spans="1:13" s="16" customFormat="1" ht="15" x14ac:dyDescent="0.25">
      <c r="A43" s="128"/>
      <c r="B43" s="123" t="s">
        <v>99</v>
      </c>
      <c r="C43" s="36" t="s">
        <v>90</v>
      </c>
      <c r="D43" s="80">
        <v>2590.46441</v>
      </c>
      <c r="E43" s="80">
        <v>2585.42</v>
      </c>
      <c r="F43" s="80">
        <v>3.8527999999999998</v>
      </c>
      <c r="G43" s="80">
        <v>1.1916100000000001</v>
      </c>
      <c r="H43" s="40"/>
      <c r="J43" s="81"/>
      <c r="K43" s="81"/>
      <c r="L43" s="81"/>
      <c r="M43" s="81"/>
    </row>
    <row r="44" spans="1:13" s="16" customFormat="1" ht="15" x14ac:dyDescent="0.25">
      <c r="A44" s="128"/>
      <c r="B44" s="124"/>
      <c r="C44" s="36" t="s">
        <v>98</v>
      </c>
      <c r="D44" s="80">
        <v>2.06318</v>
      </c>
      <c r="E44" s="80">
        <v>2.0591599999999999</v>
      </c>
      <c r="F44" s="80">
        <v>3.0699999999999998E-3</v>
      </c>
      <c r="G44" s="80">
        <v>9.5E-4</v>
      </c>
      <c r="H44" s="40"/>
      <c r="J44" s="81"/>
      <c r="K44" s="81"/>
      <c r="L44" s="81"/>
      <c r="M44" s="81"/>
    </row>
    <row r="45" spans="1:13" s="16" customFormat="1" ht="15" x14ac:dyDescent="0.25">
      <c r="A45" s="128"/>
      <c r="B45" s="124"/>
      <c r="C45" s="36" t="s">
        <v>92</v>
      </c>
      <c r="D45" s="80">
        <v>0.2044</v>
      </c>
      <c r="E45" s="80">
        <v>0.20399</v>
      </c>
      <c r="F45" s="80">
        <v>3.1E-4</v>
      </c>
      <c r="G45" s="80">
        <v>1E-4</v>
      </c>
      <c r="H45" s="40"/>
      <c r="J45" s="81"/>
      <c r="K45" s="81"/>
      <c r="L45" s="81"/>
      <c r="M45" s="81"/>
    </row>
    <row r="46" spans="1:13" s="16" customFormat="1" ht="15" x14ac:dyDescent="0.25">
      <c r="A46" s="128"/>
      <c r="B46" s="125"/>
      <c r="C46" s="36" t="s">
        <v>93</v>
      </c>
      <c r="D46" s="80">
        <v>0.18448999999999999</v>
      </c>
      <c r="E46" s="80">
        <v>0.18412000000000001</v>
      </c>
      <c r="F46" s="80">
        <v>2.7999999999999998E-4</v>
      </c>
      <c r="G46" s="80">
        <v>9.0000000000000006E-5</v>
      </c>
      <c r="H46" s="40"/>
      <c r="J46" s="81"/>
      <c r="K46" s="81"/>
      <c r="L46" s="81"/>
      <c r="M46" s="81"/>
    </row>
    <row r="47" spans="1:13" s="16" customFormat="1" ht="15" x14ac:dyDescent="0.25">
      <c r="A47" s="128"/>
      <c r="B47" s="123" t="s">
        <v>100</v>
      </c>
      <c r="C47" s="36" t="s">
        <v>90</v>
      </c>
      <c r="D47" s="80">
        <v>2578.24647</v>
      </c>
      <c r="E47" s="80">
        <v>2575.6999999999998</v>
      </c>
      <c r="F47" s="80">
        <v>1.3104</v>
      </c>
      <c r="G47" s="80">
        <v>1.23607</v>
      </c>
      <c r="H47" s="40"/>
      <c r="J47" s="81"/>
      <c r="K47" s="81"/>
      <c r="L47" s="81"/>
      <c r="M47" s="81"/>
    </row>
    <row r="48" spans="1:13" s="16" customFormat="1" ht="15" x14ac:dyDescent="0.25">
      <c r="A48" s="128"/>
      <c r="B48" s="124"/>
      <c r="C48" s="36" t="s">
        <v>91</v>
      </c>
      <c r="D48" s="80">
        <v>0.94440999999999997</v>
      </c>
      <c r="E48" s="80">
        <v>0.94347999999999999</v>
      </c>
      <c r="F48" s="80">
        <v>4.8000000000000001E-4</v>
      </c>
      <c r="G48" s="80">
        <v>4.4999999999999999E-4</v>
      </c>
      <c r="H48" s="40"/>
      <c r="J48" s="81"/>
      <c r="K48" s="81"/>
      <c r="L48" s="81"/>
      <c r="M48" s="81"/>
    </row>
    <row r="49" spans="1:13" s="16" customFormat="1" ht="15" x14ac:dyDescent="0.25">
      <c r="A49" s="128"/>
      <c r="B49" s="124"/>
      <c r="C49" s="36" t="s">
        <v>92</v>
      </c>
      <c r="D49" s="80">
        <v>0.19917000000000001</v>
      </c>
      <c r="E49" s="80">
        <v>0.19897000000000001</v>
      </c>
      <c r="F49" s="80">
        <v>1E-4</v>
      </c>
      <c r="G49" s="80">
        <v>1E-4</v>
      </c>
      <c r="H49" s="40"/>
      <c r="J49" s="81"/>
      <c r="K49" s="81"/>
      <c r="L49" s="81"/>
      <c r="M49" s="81"/>
    </row>
    <row r="50" spans="1:13" s="16" customFormat="1" ht="15" x14ac:dyDescent="0.25">
      <c r="A50" s="128"/>
      <c r="B50" s="125"/>
      <c r="C50" s="36" t="s">
        <v>93</v>
      </c>
      <c r="D50" s="80">
        <v>0.18323</v>
      </c>
      <c r="E50" s="80">
        <v>0.18304999999999999</v>
      </c>
      <c r="F50" s="80">
        <v>9.0000000000000006E-5</v>
      </c>
      <c r="G50" s="80">
        <v>9.0000000000000006E-5</v>
      </c>
      <c r="H50" s="40"/>
      <c r="J50" s="81"/>
      <c r="K50" s="81"/>
      <c r="L50" s="81"/>
      <c r="M50" s="81"/>
    </row>
    <row r="51" spans="1:13" s="16" customFormat="1" ht="15" x14ac:dyDescent="0.25">
      <c r="A51" s="128"/>
      <c r="B51" s="123" t="s">
        <v>101</v>
      </c>
      <c r="C51" s="36" t="s">
        <v>90</v>
      </c>
      <c r="D51" s="80">
        <v>2997.6323299999999</v>
      </c>
      <c r="E51" s="80">
        <v>2993.4</v>
      </c>
      <c r="F51" s="80">
        <v>2.5872000000000002</v>
      </c>
      <c r="G51" s="80">
        <v>1.64513</v>
      </c>
      <c r="H51" s="40"/>
      <c r="J51" s="81"/>
      <c r="K51" s="81"/>
      <c r="L51" s="81"/>
      <c r="M51" s="81"/>
    </row>
    <row r="52" spans="1:13" s="16" customFormat="1" ht="15" x14ac:dyDescent="0.25">
      <c r="A52" s="128"/>
      <c r="B52" s="124" t="s">
        <v>101</v>
      </c>
      <c r="C52" s="36" t="s">
        <v>91</v>
      </c>
      <c r="D52" s="80">
        <v>1.5435700000000001</v>
      </c>
      <c r="E52" s="80">
        <v>1.5414000000000001</v>
      </c>
      <c r="F52" s="80">
        <v>1.33E-3</v>
      </c>
      <c r="G52" s="80">
        <v>8.4000000000000003E-4</v>
      </c>
      <c r="H52" s="40"/>
      <c r="J52" s="81"/>
      <c r="K52" s="81"/>
      <c r="L52" s="81"/>
      <c r="M52" s="81"/>
    </row>
    <row r="53" spans="1:13" s="16" customFormat="1" ht="15" x14ac:dyDescent="0.25">
      <c r="A53" s="128"/>
      <c r="B53" s="124" t="s">
        <v>101</v>
      </c>
      <c r="C53" s="36" t="s">
        <v>92</v>
      </c>
      <c r="D53" s="80">
        <v>0.23257</v>
      </c>
      <c r="E53" s="80">
        <v>0.23225000000000001</v>
      </c>
      <c r="F53" s="80">
        <v>2.0000000000000001E-4</v>
      </c>
      <c r="G53" s="80">
        <v>1.2E-4</v>
      </c>
      <c r="H53" s="40"/>
      <c r="J53" s="81"/>
      <c r="K53" s="81"/>
      <c r="L53" s="81"/>
      <c r="M53" s="81"/>
    </row>
    <row r="54" spans="1:13" s="16" customFormat="1" ht="15" x14ac:dyDescent="0.25">
      <c r="A54" s="129"/>
      <c r="B54" s="125" t="s">
        <v>101</v>
      </c>
      <c r="C54" s="36" t="s">
        <v>93</v>
      </c>
      <c r="D54" s="80">
        <v>0.21410999999999999</v>
      </c>
      <c r="E54" s="80">
        <v>0.21381</v>
      </c>
      <c r="F54" s="80">
        <v>1.8000000000000001E-4</v>
      </c>
      <c r="G54" s="80">
        <v>1.2E-4</v>
      </c>
      <c r="H54" s="40"/>
      <c r="J54" s="81"/>
      <c r="K54" s="81"/>
      <c r="L54" s="81"/>
      <c r="M54" s="81"/>
    </row>
    <row r="55" spans="1:13" s="16" customFormat="1" ht="15" x14ac:dyDescent="0.25">
      <c r="A55" s="44"/>
      <c r="B55" s="44"/>
      <c r="C55" s="44"/>
      <c r="D55" s="45"/>
      <c r="E55" s="45"/>
      <c r="F55" s="45"/>
      <c r="G55" s="45"/>
      <c r="H55" s="16" t="s">
        <v>102</v>
      </c>
      <c r="J55" s="81"/>
      <c r="K55" s="81"/>
      <c r="L55" s="81"/>
      <c r="M55" s="81"/>
    </row>
    <row r="56" spans="1:13" s="16" customFormat="1" ht="15" x14ac:dyDescent="0.25">
      <c r="A56" s="44"/>
      <c r="B56" s="44"/>
      <c r="C56" s="44"/>
      <c r="D56" s="45"/>
      <c r="E56" s="45"/>
      <c r="F56" s="45"/>
      <c r="G56" s="45"/>
      <c r="H56" s="16" t="s">
        <v>102</v>
      </c>
      <c r="J56" s="81"/>
      <c r="K56" s="81"/>
      <c r="L56" s="81"/>
      <c r="M56" s="81"/>
    </row>
    <row r="57" spans="1:13" s="16" customFormat="1" ht="15" x14ac:dyDescent="0.25">
      <c r="A57" s="44"/>
      <c r="B57" s="44"/>
      <c r="C57" s="44"/>
      <c r="D57" s="45"/>
      <c r="E57" s="45"/>
      <c r="F57" s="45"/>
      <c r="G57" s="45"/>
      <c r="H57" s="16" t="s">
        <v>102</v>
      </c>
      <c r="J57" s="81"/>
      <c r="K57" s="81"/>
      <c r="L57" s="81"/>
      <c r="M57" s="81"/>
    </row>
    <row r="58" spans="1:13" s="16" customFormat="1" ht="18" customHeight="1" x14ac:dyDescent="0.35">
      <c r="A58" s="35" t="s">
        <v>81</v>
      </c>
      <c r="B58" s="35" t="s">
        <v>82</v>
      </c>
      <c r="C58" s="35" t="s">
        <v>83</v>
      </c>
      <c r="D58" s="36" t="s">
        <v>84</v>
      </c>
      <c r="E58" s="36" t="s">
        <v>85</v>
      </c>
      <c r="F58" s="37" t="s">
        <v>86</v>
      </c>
      <c r="G58" s="37" t="s">
        <v>87</v>
      </c>
      <c r="J58" s="81"/>
      <c r="K58" s="81"/>
      <c r="L58" s="81"/>
      <c r="M58" s="81"/>
    </row>
    <row r="59" spans="1:13" s="16" customFormat="1" ht="15" x14ac:dyDescent="0.25">
      <c r="A59" s="114" t="s">
        <v>103</v>
      </c>
      <c r="B59" s="123" t="s">
        <v>104</v>
      </c>
      <c r="C59" s="36" t="s">
        <v>90</v>
      </c>
      <c r="D59" s="80">
        <v>3193.6948000000002</v>
      </c>
      <c r="E59" s="80">
        <v>3127.67</v>
      </c>
      <c r="F59" s="80">
        <v>39.524799999999999</v>
      </c>
      <c r="G59" s="80">
        <v>26.5</v>
      </c>
      <c r="H59" s="40"/>
      <c r="J59" s="81"/>
      <c r="K59" s="81"/>
      <c r="L59" s="81"/>
      <c r="M59" s="81"/>
    </row>
    <row r="60" spans="1:13" s="16" customFormat="1" ht="15" x14ac:dyDescent="0.25">
      <c r="A60" s="115"/>
      <c r="B60" s="124"/>
      <c r="C60" s="36" t="s">
        <v>91</v>
      </c>
      <c r="D60" s="80">
        <v>2.3311600000000001</v>
      </c>
      <c r="E60" s="80">
        <v>2.2829700000000002</v>
      </c>
      <c r="F60" s="80">
        <v>2.8850000000000001E-2</v>
      </c>
      <c r="G60" s="80">
        <v>1.934E-2</v>
      </c>
      <c r="H60" s="40"/>
      <c r="J60" s="81"/>
      <c r="K60" s="81"/>
      <c r="L60" s="81"/>
      <c r="M60" s="81"/>
    </row>
    <row r="61" spans="1:13" s="16" customFormat="1" ht="15" x14ac:dyDescent="0.25">
      <c r="A61" s="115"/>
      <c r="B61" s="124"/>
      <c r="C61" s="36" t="s">
        <v>92</v>
      </c>
      <c r="D61" s="80">
        <v>0.25666</v>
      </c>
      <c r="E61" s="80">
        <v>0.25135000000000002</v>
      </c>
      <c r="F61" s="80">
        <v>3.1800000000000001E-3</v>
      </c>
      <c r="G61" s="80">
        <v>2.1299999999999999E-3</v>
      </c>
      <c r="H61" s="40"/>
      <c r="J61" s="81"/>
      <c r="K61" s="81"/>
      <c r="L61" s="81"/>
      <c r="M61" s="81"/>
    </row>
    <row r="62" spans="1:13" s="16" customFormat="1" ht="15" x14ac:dyDescent="0.25">
      <c r="A62" s="115"/>
      <c r="B62" s="125"/>
      <c r="C62" s="36" t="s">
        <v>93</v>
      </c>
      <c r="D62" s="80">
        <v>0.24382000000000001</v>
      </c>
      <c r="E62" s="80">
        <v>0.23877999999999999</v>
      </c>
      <c r="F62" s="80">
        <v>3.0100000000000001E-3</v>
      </c>
      <c r="G62" s="80">
        <v>2.0300000000000001E-3</v>
      </c>
      <c r="H62" s="40"/>
      <c r="J62" s="81"/>
      <c r="K62" s="81"/>
      <c r="L62" s="81"/>
      <c r="M62" s="81"/>
    </row>
    <row r="63" spans="1:13" s="16" customFormat="1" ht="15" x14ac:dyDescent="0.25">
      <c r="A63" s="115"/>
      <c r="B63" s="123" t="s">
        <v>105</v>
      </c>
      <c r="C63" s="36" t="s">
        <v>90</v>
      </c>
      <c r="D63" s="80">
        <v>3178.3652000000002</v>
      </c>
      <c r="E63" s="80">
        <v>3149.67</v>
      </c>
      <c r="F63" s="80">
        <v>2.1951999999999998</v>
      </c>
      <c r="G63" s="80">
        <v>26.5</v>
      </c>
      <c r="H63" s="40"/>
      <c r="J63" s="81"/>
      <c r="K63" s="81"/>
      <c r="L63" s="81"/>
      <c r="M63" s="81"/>
    </row>
    <row r="64" spans="1:13" s="16" customFormat="1" ht="15" x14ac:dyDescent="0.25">
      <c r="A64" s="115"/>
      <c r="B64" s="124"/>
      <c r="C64" s="36" t="s">
        <v>91</v>
      </c>
      <c r="D64" s="80">
        <v>2.5426899999999999</v>
      </c>
      <c r="E64" s="80">
        <v>2.51973</v>
      </c>
      <c r="F64" s="80">
        <v>1.7600000000000001E-3</v>
      </c>
      <c r="G64" s="80">
        <v>2.12E-2</v>
      </c>
      <c r="H64" s="40"/>
      <c r="J64" s="81"/>
      <c r="K64" s="81"/>
      <c r="L64" s="81"/>
      <c r="M64" s="81"/>
    </row>
    <row r="65" spans="1:13" s="16" customFormat="1" ht="15" x14ac:dyDescent="0.25">
      <c r="A65" s="115"/>
      <c r="B65" s="124"/>
      <c r="C65" s="36" t="s">
        <v>92</v>
      </c>
      <c r="D65" s="80">
        <v>0.26061000000000001</v>
      </c>
      <c r="E65" s="80">
        <v>0.25825999999999999</v>
      </c>
      <c r="F65" s="80">
        <v>1.8000000000000001E-4</v>
      </c>
      <c r="G65" s="80">
        <v>2.1700000000000001E-3</v>
      </c>
      <c r="H65" s="40"/>
      <c r="J65" s="81"/>
      <c r="K65" s="81"/>
      <c r="L65" s="81"/>
      <c r="M65" s="81"/>
    </row>
    <row r="66" spans="1:13" s="16" customFormat="1" ht="15" x14ac:dyDescent="0.25">
      <c r="A66" s="115"/>
      <c r="B66" s="125"/>
      <c r="C66" s="36" t="s">
        <v>93</v>
      </c>
      <c r="D66" s="80">
        <v>0.24757999999999999</v>
      </c>
      <c r="E66" s="80">
        <v>0.24535000000000001</v>
      </c>
      <c r="F66" s="80">
        <v>1.7000000000000001E-4</v>
      </c>
      <c r="G66" s="80">
        <v>2.0600000000000002E-3</v>
      </c>
      <c r="H66" s="40"/>
      <c r="J66" s="81"/>
      <c r="K66" s="81"/>
      <c r="L66" s="81"/>
      <c r="M66" s="81"/>
    </row>
    <row r="67" spans="1:13" s="16" customFormat="1" ht="15" x14ac:dyDescent="0.25">
      <c r="A67" s="115"/>
      <c r="B67" s="111" t="s">
        <v>106</v>
      </c>
      <c r="C67" s="36" t="s">
        <v>90</v>
      </c>
      <c r="D67" s="80">
        <v>3165.0418100000002</v>
      </c>
      <c r="E67" s="80">
        <v>3149.67</v>
      </c>
      <c r="F67" s="80">
        <v>8.4</v>
      </c>
      <c r="G67" s="80">
        <v>6.9718099999999996</v>
      </c>
      <c r="H67" s="40"/>
      <c r="J67" s="81"/>
      <c r="K67" s="81"/>
      <c r="L67" s="81"/>
      <c r="M67" s="81"/>
    </row>
    <row r="68" spans="1:13" s="16" customFormat="1" ht="15" x14ac:dyDescent="0.25">
      <c r="A68" s="115"/>
      <c r="B68" s="112"/>
      <c r="C68" s="36" t="s">
        <v>91</v>
      </c>
      <c r="D68" s="80">
        <v>2.5401500000000001</v>
      </c>
      <c r="E68" s="80">
        <v>2.5278200000000002</v>
      </c>
      <c r="F68" s="80">
        <v>6.7400000000000003E-3</v>
      </c>
      <c r="G68" s="80">
        <v>5.5900000000000004E-3</v>
      </c>
      <c r="H68" s="40"/>
      <c r="J68" s="81"/>
      <c r="K68" s="81"/>
      <c r="L68" s="81"/>
      <c r="M68" s="81"/>
    </row>
    <row r="69" spans="1:13" s="16" customFormat="1" ht="15" x14ac:dyDescent="0.25">
      <c r="A69" s="115"/>
      <c r="B69" s="112"/>
      <c r="C69" s="36" t="s">
        <v>92</v>
      </c>
      <c r="D69" s="80">
        <v>0.25974999999999998</v>
      </c>
      <c r="E69" s="80">
        <v>0.25849</v>
      </c>
      <c r="F69" s="80">
        <v>6.8999999999999997E-4</v>
      </c>
      <c r="G69" s="80">
        <v>5.6999999999999998E-4</v>
      </c>
      <c r="H69" s="40"/>
      <c r="J69" s="81"/>
      <c r="K69" s="81"/>
      <c r="L69" s="81"/>
      <c r="M69" s="81"/>
    </row>
    <row r="70" spans="1:13" s="16" customFormat="1" ht="15" x14ac:dyDescent="0.25">
      <c r="A70" s="115"/>
      <c r="B70" s="113"/>
      <c r="C70" s="36" t="s">
        <v>93</v>
      </c>
      <c r="D70" s="80">
        <v>0.24676999999999999</v>
      </c>
      <c r="E70" s="80">
        <v>0.24557000000000001</v>
      </c>
      <c r="F70" s="80">
        <v>6.6E-4</v>
      </c>
      <c r="G70" s="80">
        <v>5.4000000000000001E-4</v>
      </c>
      <c r="H70" s="40"/>
      <c r="J70" s="81"/>
      <c r="K70" s="81"/>
      <c r="L70" s="81"/>
      <c r="M70" s="81"/>
    </row>
    <row r="71" spans="1:13" s="16" customFormat="1" ht="15" x14ac:dyDescent="0.25">
      <c r="A71" s="115"/>
      <c r="B71" s="111" t="s">
        <v>107</v>
      </c>
      <c r="C71" s="36" t="s">
        <v>90</v>
      </c>
      <c r="D71" s="80">
        <v>3014.0946199999998</v>
      </c>
      <c r="E71" s="80">
        <v>2974.86</v>
      </c>
      <c r="F71" s="80">
        <v>0.34720000000000001</v>
      </c>
      <c r="G71" s="80">
        <v>38.887419999999999</v>
      </c>
      <c r="H71" s="40"/>
      <c r="J71" s="81"/>
      <c r="K71" s="81"/>
      <c r="L71" s="81"/>
      <c r="M71" s="81"/>
    </row>
    <row r="72" spans="1:13" s="16" customFormat="1" ht="15" x14ac:dyDescent="0.25">
      <c r="A72" s="115"/>
      <c r="B72" s="112"/>
      <c r="C72" s="36" t="s">
        <v>91</v>
      </c>
      <c r="D72" s="80">
        <v>2.5127899999999999</v>
      </c>
      <c r="E72" s="80">
        <v>2.4796</v>
      </c>
      <c r="F72" s="80">
        <v>2.9E-4</v>
      </c>
      <c r="G72" s="80">
        <v>3.2899999999999999E-2</v>
      </c>
      <c r="H72" s="40"/>
      <c r="J72" s="81"/>
      <c r="K72" s="81"/>
      <c r="L72" s="81"/>
      <c r="M72" s="81"/>
    </row>
    <row r="73" spans="1:13" s="16" customFormat="1" ht="15" x14ac:dyDescent="0.25">
      <c r="A73" s="115"/>
      <c r="B73" s="112"/>
      <c r="C73" s="36" t="s">
        <v>92</v>
      </c>
      <c r="D73" s="80">
        <v>0.25402999999999998</v>
      </c>
      <c r="E73" s="80">
        <v>0.25069999999999998</v>
      </c>
      <c r="F73" s="80">
        <v>3.0000000000000001E-5</v>
      </c>
      <c r="G73" s="80">
        <v>3.3E-3</v>
      </c>
      <c r="H73" s="40"/>
      <c r="J73" s="81"/>
      <c r="K73" s="81"/>
      <c r="L73" s="81"/>
      <c r="M73" s="81"/>
    </row>
    <row r="74" spans="1:13" s="16" customFormat="1" ht="15" x14ac:dyDescent="0.25">
      <c r="A74" s="115"/>
      <c r="B74" s="113"/>
      <c r="C74" s="36" t="s">
        <v>93</v>
      </c>
      <c r="D74" s="80">
        <v>0.23902000000000001</v>
      </c>
      <c r="E74" s="80">
        <v>0.2359</v>
      </c>
      <c r="F74" s="80">
        <v>2.0000000000000002E-5</v>
      </c>
      <c r="G74" s="80">
        <v>3.0999999999999999E-3</v>
      </c>
      <c r="H74" s="40"/>
      <c r="J74" s="81"/>
      <c r="K74" s="81"/>
      <c r="L74" s="81"/>
      <c r="M74" s="81"/>
    </row>
    <row r="75" spans="1:13" s="16" customFormat="1" ht="15" x14ac:dyDescent="0.25">
      <c r="A75" s="115"/>
      <c r="B75" s="111" t="s">
        <v>108</v>
      </c>
      <c r="C75" s="36" t="s">
        <v>90</v>
      </c>
      <c r="D75" s="80">
        <v>3203.9114300000001</v>
      </c>
      <c r="E75" s="80">
        <v>3164.33</v>
      </c>
      <c r="F75" s="80">
        <v>0.34720000000000001</v>
      </c>
      <c r="G75" s="80">
        <v>39.234229999999997</v>
      </c>
      <c r="H75" s="40"/>
      <c r="J75" s="81"/>
      <c r="K75" s="81"/>
      <c r="L75" s="81"/>
      <c r="M75" s="81"/>
    </row>
    <row r="76" spans="1:13" s="16" customFormat="1" ht="15" x14ac:dyDescent="0.25">
      <c r="A76" s="115"/>
      <c r="B76" s="112"/>
      <c r="C76" s="36" t="s">
        <v>91</v>
      </c>
      <c r="D76" s="80">
        <v>2.6615500000000001</v>
      </c>
      <c r="E76" s="80">
        <v>2.62818</v>
      </c>
      <c r="F76" s="80">
        <v>2.9E-4</v>
      </c>
      <c r="G76" s="80">
        <v>3.3079999999999998E-2</v>
      </c>
      <c r="H76" s="40"/>
      <c r="J76" s="81"/>
      <c r="K76" s="81"/>
      <c r="L76" s="81"/>
      <c r="M76" s="81"/>
    </row>
    <row r="77" spans="1:13" s="16" customFormat="1" ht="15" x14ac:dyDescent="0.25">
      <c r="A77" s="115"/>
      <c r="B77" s="112"/>
      <c r="C77" s="36" t="s">
        <v>92</v>
      </c>
      <c r="D77" s="80">
        <v>0.26807999999999998</v>
      </c>
      <c r="E77" s="80">
        <v>0.26474999999999999</v>
      </c>
      <c r="F77" s="80">
        <v>3.0000000000000001E-5</v>
      </c>
      <c r="G77" s="80">
        <v>3.3E-3</v>
      </c>
      <c r="H77" s="40"/>
      <c r="J77" s="81"/>
      <c r="K77" s="81"/>
      <c r="L77" s="81"/>
      <c r="M77" s="81"/>
    </row>
    <row r="78" spans="1:13" s="16" customFormat="1" ht="15" x14ac:dyDescent="0.25">
      <c r="A78" s="115"/>
      <c r="B78" s="113"/>
      <c r="C78" s="36" t="s">
        <v>93</v>
      </c>
      <c r="D78" s="80">
        <v>0.25197000000000003</v>
      </c>
      <c r="E78" s="80">
        <v>0.24886</v>
      </c>
      <c r="F78" s="80">
        <v>2.0000000000000002E-5</v>
      </c>
      <c r="G78" s="80">
        <v>3.0899999999999999E-3</v>
      </c>
      <c r="H78" s="40"/>
      <c r="J78" s="81"/>
      <c r="K78" s="81"/>
      <c r="L78" s="81"/>
      <c r="M78" s="81"/>
    </row>
    <row r="79" spans="1:13" s="16" customFormat="1" ht="15" x14ac:dyDescent="0.25">
      <c r="A79" s="115"/>
      <c r="B79" s="111" t="s">
        <v>109</v>
      </c>
      <c r="C79" s="36" t="s">
        <v>90</v>
      </c>
      <c r="D79" s="80">
        <v>3228.8901900000001</v>
      </c>
      <c r="E79" s="80">
        <v>3216.38</v>
      </c>
      <c r="F79" s="80">
        <v>5.3872</v>
      </c>
      <c r="G79" s="80">
        <v>7.1229899999999997</v>
      </c>
      <c r="H79" s="40"/>
      <c r="J79" s="81"/>
      <c r="K79" s="81"/>
      <c r="L79" s="81"/>
      <c r="M79" s="81"/>
    </row>
    <row r="80" spans="1:13" s="16" customFormat="1" ht="15" x14ac:dyDescent="0.25">
      <c r="A80" s="115"/>
      <c r="B80" s="112"/>
      <c r="C80" s="36" t="s">
        <v>91</v>
      </c>
      <c r="D80" s="80">
        <v>3.1749299999999998</v>
      </c>
      <c r="E80" s="80">
        <v>3.16262</v>
      </c>
      <c r="F80" s="80">
        <v>5.3E-3</v>
      </c>
      <c r="G80" s="80">
        <v>7.0099999999999997E-3</v>
      </c>
      <c r="H80" s="40"/>
      <c r="J80" s="81"/>
      <c r="K80" s="81"/>
      <c r="L80" s="81"/>
      <c r="M80" s="81"/>
    </row>
    <row r="81" spans="1:13" s="16" customFormat="1" ht="15" x14ac:dyDescent="0.25">
      <c r="A81" s="115"/>
      <c r="B81" s="112"/>
      <c r="C81" s="36" t="s">
        <v>92</v>
      </c>
      <c r="D81" s="80">
        <v>0.28522999999999998</v>
      </c>
      <c r="E81" s="80">
        <v>0.28412999999999999</v>
      </c>
      <c r="F81" s="80">
        <v>4.6999999999999999E-4</v>
      </c>
      <c r="G81" s="80">
        <v>6.3000000000000003E-4</v>
      </c>
      <c r="H81" s="40"/>
      <c r="J81" s="81"/>
      <c r="K81" s="81"/>
      <c r="L81" s="81"/>
      <c r="M81" s="81"/>
    </row>
    <row r="82" spans="1:13" s="16" customFormat="1" ht="15" x14ac:dyDescent="0.25">
      <c r="A82" s="115"/>
      <c r="B82" s="113"/>
      <c r="C82" s="36" t="s">
        <v>93</v>
      </c>
      <c r="D82" s="80">
        <v>0.26813999999999999</v>
      </c>
      <c r="E82" s="80">
        <v>0.26708999999999999</v>
      </c>
      <c r="F82" s="80">
        <v>4.4999999999999999E-4</v>
      </c>
      <c r="G82" s="80">
        <v>5.9999999999999995E-4</v>
      </c>
      <c r="H82" s="40"/>
      <c r="J82" s="81"/>
      <c r="K82" s="81"/>
      <c r="L82" s="81"/>
      <c r="M82" s="81"/>
    </row>
    <row r="83" spans="1:13" s="16" customFormat="1" ht="15" x14ac:dyDescent="0.25">
      <c r="A83" s="115"/>
      <c r="B83" s="111" t="s">
        <v>110</v>
      </c>
      <c r="C83" s="36" t="s">
        <v>90</v>
      </c>
      <c r="D83" s="80">
        <v>3226.5785900000001</v>
      </c>
      <c r="E83" s="80">
        <v>3190</v>
      </c>
      <c r="F83" s="80">
        <v>3.6848000000000001</v>
      </c>
      <c r="G83" s="80">
        <v>32.893790000000003</v>
      </c>
      <c r="H83" s="40"/>
      <c r="J83" s="81"/>
      <c r="K83" s="81"/>
      <c r="L83" s="81"/>
      <c r="M83" s="81"/>
    </row>
    <row r="84" spans="1:13" s="16" customFormat="1" ht="15" x14ac:dyDescent="0.25">
      <c r="A84" s="115"/>
      <c r="B84" s="112"/>
      <c r="C84" s="36" t="s">
        <v>91</v>
      </c>
      <c r="D84" s="80">
        <v>2.7554099999999999</v>
      </c>
      <c r="E84" s="80">
        <v>2.72417</v>
      </c>
      <c r="F84" s="80">
        <v>3.15E-3</v>
      </c>
      <c r="G84" s="80">
        <v>2.809E-2</v>
      </c>
      <c r="H84" s="40"/>
      <c r="J84" s="81"/>
      <c r="K84" s="81"/>
      <c r="L84" s="81"/>
      <c r="M84" s="81"/>
    </row>
    <row r="85" spans="1:13" s="16" customFormat="1" ht="15" x14ac:dyDescent="0.25">
      <c r="A85" s="115"/>
      <c r="B85" s="112"/>
      <c r="C85" s="36" t="s">
        <v>92</v>
      </c>
      <c r="D85" s="80">
        <v>0.27287</v>
      </c>
      <c r="E85" s="80">
        <v>0.26978000000000002</v>
      </c>
      <c r="F85" s="80">
        <v>3.1E-4</v>
      </c>
      <c r="G85" s="80">
        <v>2.7799999999999999E-3</v>
      </c>
      <c r="H85" s="40"/>
      <c r="J85" s="81"/>
      <c r="K85" s="81"/>
      <c r="L85" s="81"/>
      <c r="M85" s="81"/>
    </row>
    <row r="86" spans="1:13" s="16" customFormat="1" ht="15" x14ac:dyDescent="0.25">
      <c r="A86" s="115"/>
      <c r="B86" s="113"/>
      <c r="C86" s="36" t="s">
        <v>93</v>
      </c>
      <c r="D86" s="80">
        <v>0.25649</v>
      </c>
      <c r="E86" s="80">
        <v>0.25358999999999998</v>
      </c>
      <c r="F86" s="80">
        <v>2.9E-4</v>
      </c>
      <c r="G86" s="80">
        <v>2.6099999999999999E-3</v>
      </c>
      <c r="H86" s="40"/>
      <c r="J86" s="81"/>
      <c r="K86" s="81"/>
      <c r="L86" s="81"/>
      <c r="M86" s="81"/>
    </row>
    <row r="87" spans="1:13" s="16" customFormat="1" ht="15" x14ac:dyDescent="0.25">
      <c r="A87" s="115"/>
      <c r="B87" s="120" t="s">
        <v>111</v>
      </c>
      <c r="C87" s="36" t="s">
        <v>90</v>
      </c>
      <c r="D87" s="80">
        <v>3180.9999200000002</v>
      </c>
      <c r="E87" s="80">
        <v>3171.09</v>
      </c>
      <c r="F87" s="80">
        <v>3.4272</v>
      </c>
      <c r="G87" s="80">
        <v>6.4827199999999996</v>
      </c>
      <c r="H87" s="40"/>
      <c r="J87" s="81"/>
      <c r="K87" s="81"/>
      <c r="L87" s="81"/>
      <c r="M87" s="81"/>
    </row>
    <row r="88" spans="1:13" s="16" customFormat="1" ht="15" x14ac:dyDescent="0.25">
      <c r="A88" s="115"/>
      <c r="B88" s="121" t="s">
        <v>111</v>
      </c>
      <c r="C88" s="36" t="s">
        <v>91</v>
      </c>
      <c r="D88" s="80">
        <v>2.7493400000000001</v>
      </c>
      <c r="E88" s="80">
        <v>2.74078</v>
      </c>
      <c r="F88" s="80">
        <v>2.96E-3</v>
      </c>
      <c r="G88" s="80">
        <v>5.5999999999999999E-3</v>
      </c>
      <c r="H88" s="40"/>
      <c r="J88" s="81"/>
      <c r="K88" s="81"/>
      <c r="L88" s="81"/>
      <c r="M88" s="81"/>
    </row>
    <row r="89" spans="1:13" s="16" customFormat="1" ht="15" x14ac:dyDescent="0.25">
      <c r="A89" s="115"/>
      <c r="B89" s="121" t="s">
        <v>111</v>
      </c>
      <c r="C89" s="36" t="s">
        <v>92</v>
      </c>
      <c r="D89" s="80">
        <v>0.28100000000000003</v>
      </c>
      <c r="E89" s="80">
        <v>0.28012999999999999</v>
      </c>
      <c r="F89" s="80">
        <v>2.9999999999999997E-4</v>
      </c>
      <c r="G89" s="80">
        <v>5.6999999999999998E-4</v>
      </c>
      <c r="H89" s="40"/>
      <c r="J89" s="81"/>
      <c r="K89" s="81"/>
      <c r="L89" s="81"/>
      <c r="M89" s="81"/>
    </row>
    <row r="90" spans="1:13" s="16" customFormat="1" ht="15" x14ac:dyDescent="0.25">
      <c r="A90" s="115"/>
      <c r="B90" s="122" t="s">
        <v>111</v>
      </c>
      <c r="C90" s="36" t="s">
        <v>93</v>
      </c>
      <c r="D90" s="80">
        <v>0.26413999999999999</v>
      </c>
      <c r="E90" s="80">
        <v>0.26332</v>
      </c>
      <c r="F90" s="80">
        <v>2.7999999999999998E-4</v>
      </c>
      <c r="G90" s="80">
        <v>5.4000000000000001E-4</v>
      </c>
      <c r="H90" s="40"/>
      <c r="J90" s="81"/>
      <c r="K90" s="81"/>
      <c r="L90" s="81"/>
      <c r="M90" s="81"/>
    </row>
    <row r="91" spans="1:13" s="16" customFormat="1" ht="15" x14ac:dyDescent="0.25">
      <c r="A91" s="115"/>
      <c r="B91" s="120" t="s">
        <v>112</v>
      </c>
      <c r="C91" s="36" t="s">
        <v>90</v>
      </c>
      <c r="D91" s="80">
        <v>3142.3789000000002</v>
      </c>
      <c r="E91" s="80">
        <v>3131.33</v>
      </c>
      <c r="F91" s="80">
        <v>3.8191999999999999</v>
      </c>
      <c r="G91" s="80">
        <v>7.2297000000000002</v>
      </c>
      <c r="H91" s="40"/>
      <c r="J91" s="81"/>
      <c r="K91" s="81"/>
      <c r="L91" s="81"/>
      <c r="M91" s="81"/>
    </row>
    <row r="92" spans="1:13" s="16" customFormat="1" ht="15" x14ac:dyDescent="0.25">
      <c r="A92" s="115"/>
      <c r="B92" s="121" t="s">
        <v>112</v>
      </c>
      <c r="C92" s="36" t="s">
        <v>91</v>
      </c>
      <c r="D92" s="80">
        <v>2.1189399999999998</v>
      </c>
      <c r="E92" s="80">
        <v>2.1114899999999999</v>
      </c>
      <c r="F92" s="80">
        <v>2.5799999999999998E-3</v>
      </c>
      <c r="G92" s="80">
        <v>4.8700000000000002E-3</v>
      </c>
      <c r="H92" s="40"/>
      <c r="J92" s="81"/>
      <c r="K92" s="81"/>
      <c r="L92" s="81"/>
      <c r="M92" s="81"/>
    </row>
    <row r="93" spans="1:13" s="16" customFormat="1" ht="15" x14ac:dyDescent="0.25">
      <c r="A93" s="115"/>
      <c r="B93" s="121" t="s">
        <v>112</v>
      </c>
      <c r="C93" s="36" t="s">
        <v>92</v>
      </c>
      <c r="D93" s="80">
        <v>0.24890999999999999</v>
      </c>
      <c r="E93" s="80">
        <v>0.24804000000000001</v>
      </c>
      <c r="F93" s="80">
        <v>2.9999999999999997E-4</v>
      </c>
      <c r="G93" s="80">
        <v>5.6999999999999998E-4</v>
      </c>
      <c r="H93" s="40"/>
      <c r="J93" s="81"/>
      <c r="K93" s="81"/>
      <c r="L93" s="81"/>
      <c r="M93" s="81"/>
    </row>
    <row r="94" spans="1:13" s="16" customFormat="1" ht="15" x14ac:dyDescent="0.25">
      <c r="A94" s="115"/>
      <c r="B94" s="122" t="s">
        <v>112</v>
      </c>
      <c r="C94" s="47" t="s">
        <v>93</v>
      </c>
      <c r="D94" s="80">
        <v>0.23647000000000001</v>
      </c>
      <c r="E94" s="83">
        <v>0.23563999999999999</v>
      </c>
      <c r="F94" s="83">
        <v>2.9E-4</v>
      </c>
      <c r="G94" s="83">
        <v>5.4000000000000001E-4</v>
      </c>
      <c r="H94" s="40"/>
      <c r="J94" s="81"/>
      <c r="K94" s="81"/>
      <c r="L94" s="81"/>
      <c r="M94" s="81"/>
    </row>
    <row r="95" spans="1:13" s="16" customFormat="1" ht="15" x14ac:dyDescent="0.25">
      <c r="A95" s="115"/>
      <c r="B95" s="120" t="s">
        <v>113</v>
      </c>
      <c r="C95" s="49" t="s">
        <v>90</v>
      </c>
      <c r="D95" s="80">
        <v>2778.5293499999998</v>
      </c>
      <c r="E95" s="84">
        <v>2759.8</v>
      </c>
      <c r="F95" s="84">
        <v>10.8416</v>
      </c>
      <c r="G95" s="85">
        <v>7.8877499999999996</v>
      </c>
      <c r="H95" s="40"/>
      <c r="J95" s="81"/>
      <c r="K95" s="81"/>
      <c r="L95" s="81"/>
      <c r="M95" s="81"/>
    </row>
    <row r="96" spans="1:13" s="16" customFormat="1" ht="15" x14ac:dyDescent="0.25">
      <c r="A96" s="115"/>
      <c r="B96" s="121"/>
      <c r="C96" s="52" t="s">
        <v>91</v>
      </c>
      <c r="D96" s="80">
        <v>2.0844</v>
      </c>
      <c r="E96" s="80">
        <v>2.0704699999999998</v>
      </c>
      <c r="F96" s="80">
        <v>8.0599999999999995E-3</v>
      </c>
      <c r="G96" s="86">
        <v>5.8700000000000002E-3</v>
      </c>
      <c r="H96" s="40"/>
      <c r="J96" s="81"/>
      <c r="K96" s="81"/>
      <c r="L96" s="81"/>
      <c r="M96" s="81"/>
    </row>
    <row r="97" spans="1:13" s="16" customFormat="1" ht="15" x14ac:dyDescent="0.25">
      <c r="A97" s="115"/>
      <c r="B97" s="121"/>
      <c r="C97" s="52" t="s">
        <v>92</v>
      </c>
      <c r="D97" s="80">
        <v>0.2324</v>
      </c>
      <c r="E97" s="80">
        <v>0.23085</v>
      </c>
      <c r="F97" s="80">
        <v>8.9999999999999998E-4</v>
      </c>
      <c r="G97" s="86">
        <v>6.4999999999999997E-4</v>
      </c>
      <c r="H97" s="40"/>
      <c r="J97" s="81"/>
      <c r="K97" s="81"/>
      <c r="L97" s="81"/>
      <c r="M97" s="81"/>
    </row>
    <row r="98" spans="1:13" s="16" customFormat="1" ht="15" x14ac:dyDescent="0.25">
      <c r="A98" s="115"/>
      <c r="B98" s="122"/>
      <c r="C98" s="54" t="s">
        <v>93</v>
      </c>
      <c r="D98" s="80">
        <v>0.22012999999999999</v>
      </c>
      <c r="E98" s="87">
        <v>0.21868000000000001</v>
      </c>
      <c r="F98" s="87">
        <v>8.4000000000000003E-4</v>
      </c>
      <c r="G98" s="88">
        <v>6.0999999999999997E-4</v>
      </c>
      <c r="H98" s="40"/>
      <c r="J98" s="81"/>
      <c r="K98" s="81"/>
      <c r="L98" s="81"/>
      <c r="M98" s="81"/>
    </row>
    <row r="99" spans="1:13" s="16" customFormat="1" ht="15" x14ac:dyDescent="0.25">
      <c r="A99" s="115"/>
      <c r="B99" s="111" t="s">
        <v>114</v>
      </c>
      <c r="C99" s="57" t="s">
        <v>90</v>
      </c>
      <c r="D99" s="80">
        <v>3154.0821299999998</v>
      </c>
      <c r="E99" s="84">
        <v>3135</v>
      </c>
      <c r="F99" s="89">
        <v>11.043200000000001</v>
      </c>
      <c r="G99" s="89">
        <v>8.0389300000000006</v>
      </c>
      <c r="H99" s="40"/>
      <c r="J99" s="81"/>
      <c r="K99" s="81"/>
      <c r="L99" s="81"/>
      <c r="M99" s="81"/>
    </row>
    <row r="100" spans="1:13" s="16" customFormat="1" ht="15" x14ac:dyDescent="0.25">
      <c r="A100" s="115"/>
      <c r="B100" s="112"/>
      <c r="C100" s="36" t="s">
        <v>91</v>
      </c>
      <c r="D100" s="80">
        <v>2.35372</v>
      </c>
      <c r="E100" s="80">
        <v>2.33955</v>
      </c>
      <c r="F100" s="80">
        <v>8.2000000000000007E-3</v>
      </c>
      <c r="G100" s="80">
        <v>5.9699999999999996E-3</v>
      </c>
      <c r="H100" s="40"/>
      <c r="J100" s="81"/>
      <c r="K100" s="81"/>
      <c r="L100" s="81"/>
      <c r="M100" s="81"/>
    </row>
    <row r="101" spans="1:13" s="16" customFormat="1" ht="15" x14ac:dyDescent="0.25">
      <c r="A101" s="115"/>
      <c r="B101" s="112"/>
      <c r="C101" s="36" t="s">
        <v>92</v>
      </c>
      <c r="D101" s="80">
        <v>0.25459999999999999</v>
      </c>
      <c r="E101" s="80">
        <v>0.25305</v>
      </c>
      <c r="F101" s="80">
        <v>8.9999999999999998E-4</v>
      </c>
      <c r="G101" s="80">
        <v>6.4999999999999997E-4</v>
      </c>
      <c r="H101" s="40"/>
      <c r="J101" s="81"/>
      <c r="K101" s="81"/>
      <c r="L101" s="81"/>
      <c r="M101" s="81"/>
    </row>
    <row r="102" spans="1:13" s="16" customFormat="1" ht="15" x14ac:dyDescent="0.25">
      <c r="A102" s="115"/>
      <c r="B102" s="113"/>
      <c r="C102" s="36" t="s">
        <v>93</v>
      </c>
      <c r="D102" s="80">
        <v>0.24185999999999999</v>
      </c>
      <c r="E102" s="80">
        <v>0.2404</v>
      </c>
      <c r="F102" s="80">
        <v>8.4999999999999995E-4</v>
      </c>
      <c r="G102" s="80">
        <v>6.0999999999999997E-4</v>
      </c>
      <c r="H102" s="40"/>
      <c r="J102" s="81"/>
      <c r="K102" s="81"/>
      <c r="L102" s="81"/>
      <c r="M102" s="81"/>
    </row>
    <row r="103" spans="1:13" s="16" customFormat="1" ht="15" x14ac:dyDescent="0.25">
      <c r="A103" s="115"/>
      <c r="B103" s="111" t="s">
        <v>115</v>
      </c>
      <c r="C103" s="36" t="s">
        <v>90</v>
      </c>
      <c r="D103" s="80">
        <v>3228.8901900000001</v>
      </c>
      <c r="E103" s="80">
        <v>3216.38</v>
      </c>
      <c r="F103" s="80">
        <v>5.3872</v>
      </c>
      <c r="G103" s="80">
        <v>7.1229899999999997</v>
      </c>
      <c r="H103" s="40"/>
      <c r="J103" s="81"/>
      <c r="K103" s="81"/>
      <c r="L103" s="81"/>
      <c r="M103" s="81"/>
    </row>
    <row r="104" spans="1:13" s="16" customFormat="1" ht="15" x14ac:dyDescent="0.25">
      <c r="A104" s="115"/>
      <c r="B104" s="112"/>
      <c r="C104" s="36" t="s">
        <v>91</v>
      </c>
      <c r="D104" s="80">
        <v>3.1749299999999998</v>
      </c>
      <c r="E104" s="80">
        <v>3.16262</v>
      </c>
      <c r="F104" s="80">
        <v>5.3E-3</v>
      </c>
      <c r="G104" s="80">
        <v>7.0099999999999997E-3</v>
      </c>
      <c r="H104" s="40"/>
      <c r="J104" s="81"/>
      <c r="K104" s="81"/>
      <c r="L104" s="81"/>
      <c r="M104" s="81"/>
    </row>
    <row r="105" spans="1:13" s="16" customFormat="1" ht="15" x14ac:dyDescent="0.25">
      <c r="A105" s="115"/>
      <c r="B105" s="112"/>
      <c r="C105" s="36" t="s">
        <v>92</v>
      </c>
      <c r="D105" s="80">
        <v>0.28522999999999998</v>
      </c>
      <c r="E105" s="80">
        <v>0.28412999999999999</v>
      </c>
      <c r="F105" s="80">
        <v>4.6999999999999999E-4</v>
      </c>
      <c r="G105" s="80">
        <v>6.3000000000000003E-4</v>
      </c>
      <c r="H105" s="40"/>
      <c r="J105" s="81"/>
      <c r="K105" s="81"/>
      <c r="L105" s="81"/>
      <c r="M105" s="81"/>
    </row>
    <row r="106" spans="1:13" s="16" customFormat="1" ht="15" x14ac:dyDescent="0.25">
      <c r="A106" s="115"/>
      <c r="B106" s="113"/>
      <c r="C106" s="36" t="s">
        <v>93</v>
      </c>
      <c r="D106" s="80">
        <v>0.26813999999999999</v>
      </c>
      <c r="E106" s="80">
        <v>0.26708999999999999</v>
      </c>
      <c r="F106" s="80">
        <v>4.4999999999999999E-4</v>
      </c>
      <c r="G106" s="80">
        <v>5.9999999999999995E-4</v>
      </c>
      <c r="H106" s="40"/>
      <c r="J106" s="81"/>
      <c r="K106" s="81"/>
      <c r="L106" s="81"/>
      <c r="M106" s="81"/>
    </row>
    <row r="107" spans="1:13" s="16" customFormat="1" ht="15" x14ac:dyDescent="0.25">
      <c r="A107" s="115"/>
      <c r="B107" s="111" t="s">
        <v>116</v>
      </c>
      <c r="C107" s="36" t="s">
        <v>90</v>
      </c>
      <c r="D107" s="80">
        <v>3226.5785900000001</v>
      </c>
      <c r="E107" s="80">
        <v>3190</v>
      </c>
      <c r="F107" s="80">
        <v>3.6848000000000001</v>
      </c>
      <c r="G107" s="80">
        <v>32.893790000000003</v>
      </c>
      <c r="H107" s="40"/>
      <c r="J107" s="81"/>
      <c r="K107" s="81"/>
      <c r="L107" s="81"/>
      <c r="M107" s="81"/>
    </row>
    <row r="108" spans="1:13" s="44" customFormat="1" ht="15" x14ac:dyDescent="0.25">
      <c r="A108" s="115"/>
      <c r="B108" s="112"/>
      <c r="C108" s="36" t="s">
        <v>91</v>
      </c>
      <c r="D108" s="80">
        <v>2.7554099999999999</v>
      </c>
      <c r="E108" s="80">
        <v>2.72417</v>
      </c>
      <c r="F108" s="80">
        <v>3.15E-3</v>
      </c>
      <c r="G108" s="80">
        <v>2.809E-2</v>
      </c>
      <c r="H108" s="40"/>
      <c r="I108" s="16"/>
      <c r="J108" s="81"/>
      <c r="K108" s="81"/>
      <c r="L108" s="81"/>
      <c r="M108" s="81"/>
    </row>
    <row r="109" spans="1:13" s="44" customFormat="1" ht="15" x14ac:dyDescent="0.25">
      <c r="A109" s="115"/>
      <c r="B109" s="112"/>
      <c r="C109" s="36" t="s">
        <v>92</v>
      </c>
      <c r="D109" s="80">
        <v>0.27287</v>
      </c>
      <c r="E109" s="80">
        <v>0.26978000000000002</v>
      </c>
      <c r="F109" s="80">
        <v>3.1E-4</v>
      </c>
      <c r="G109" s="80">
        <v>2.7799999999999999E-3</v>
      </c>
      <c r="H109" s="40"/>
      <c r="I109" s="16"/>
      <c r="J109" s="81"/>
      <c r="K109" s="81"/>
      <c r="L109" s="81"/>
      <c r="M109" s="81"/>
    </row>
    <row r="110" spans="1:13" s="44" customFormat="1" ht="15" x14ac:dyDescent="0.25">
      <c r="A110" s="115"/>
      <c r="B110" s="113"/>
      <c r="C110" s="36" t="s">
        <v>93</v>
      </c>
      <c r="D110" s="80">
        <v>0.25649</v>
      </c>
      <c r="E110" s="80">
        <v>0.25358999999999998</v>
      </c>
      <c r="F110" s="80">
        <v>2.9E-4</v>
      </c>
      <c r="G110" s="80">
        <v>2.6099999999999999E-3</v>
      </c>
      <c r="H110" s="40"/>
      <c r="I110" s="16"/>
      <c r="J110" s="81"/>
      <c r="K110" s="81"/>
      <c r="L110" s="81"/>
      <c r="M110" s="81"/>
    </row>
    <row r="111" spans="1:13" s="16" customFormat="1" ht="15" x14ac:dyDescent="0.25">
      <c r="A111" s="115"/>
      <c r="B111" s="111" t="s">
        <v>117</v>
      </c>
      <c r="C111" s="36" t="s">
        <v>90</v>
      </c>
      <c r="D111" s="80">
        <v>2944.3209299999999</v>
      </c>
      <c r="E111" s="80">
        <v>2933.33</v>
      </c>
      <c r="F111" s="80">
        <v>3.7968000000000002</v>
      </c>
      <c r="G111" s="80">
        <v>7.1941300000000004</v>
      </c>
      <c r="H111" s="40"/>
      <c r="J111" s="81"/>
      <c r="K111" s="81"/>
      <c r="L111" s="81"/>
      <c r="M111" s="81"/>
    </row>
    <row r="112" spans="1:13" s="16" customFormat="1" ht="15" x14ac:dyDescent="0.25">
      <c r="A112" s="115"/>
      <c r="B112" s="112"/>
      <c r="C112" s="36" t="s">
        <v>91</v>
      </c>
      <c r="D112" s="90"/>
      <c r="E112" s="90"/>
      <c r="F112" s="90"/>
      <c r="G112" s="90"/>
      <c r="H112" s="40"/>
      <c r="J112" s="81"/>
      <c r="K112" s="81"/>
      <c r="L112" s="81"/>
      <c r="M112" s="81"/>
    </row>
    <row r="113" spans="1:13" s="16" customFormat="1" ht="15" x14ac:dyDescent="0.25">
      <c r="A113" s="115"/>
      <c r="B113" s="112"/>
      <c r="C113" s="36" t="s">
        <v>92</v>
      </c>
      <c r="D113" s="80">
        <v>0.25961000000000001</v>
      </c>
      <c r="E113" s="80">
        <v>0.25863999999999998</v>
      </c>
      <c r="F113" s="80">
        <v>3.4000000000000002E-4</v>
      </c>
      <c r="G113" s="80">
        <v>6.3000000000000003E-4</v>
      </c>
      <c r="H113" s="40"/>
      <c r="J113" s="81"/>
      <c r="K113" s="81"/>
      <c r="L113" s="81"/>
      <c r="M113" s="81"/>
    </row>
    <row r="114" spans="1:13" s="16" customFormat="1" ht="15" x14ac:dyDescent="0.25">
      <c r="A114" s="115"/>
      <c r="B114" s="113"/>
      <c r="C114" s="36" t="s">
        <v>93</v>
      </c>
      <c r="D114" s="80">
        <v>0.24662000000000001</v>
      </c>
      <c r="E114" s="80">
        <v>0.24571000000000001</v>
      </c>
      <c r="F114" s="80">
        <v>3.1E-4</v>
      </c>
      <c r="G114" s="80">
        <v>5.9999999999999995E-4</v>
      </c>
      <c r="H114" s="40"/>
      <c r="J114" s="81"/>
      <c r="K114" s="81"/>
      <c r="L114" s="81"/>
      <c r="M114" s="81"/>
    </row>
    <row r="115" spans="1:13" s="16" customFormat="1" ht="15" x14ac:dyDescent="0.25">
      <c r="A115" s="115"/>
      <c r="B115" s="111" t="s">
        <v>118</v>
      </c>
      <c r="C115" s="36" t="s">
        <v>90</v>
      </c>
      <c r="D115" s="80">
        <v>3219.37916</v>
      </c>
      <c r="E115" s="80">
        <v>3171.09</v>
      </c>
      <c r="F115" s="80">
        <v>3.5503999999999998</v>
      </c>
      <c r="G115" s="80">
        <v>44.738759999999999</v>
      </c>
      <c r="H115" s="40"/>
      <c r="J115" s="91"/>
      <c r="K115" s="91"/>
      <c r="L115" s="91"/>
      <c r="M115" s="91"/>
    </row>
    <row r="116" spans="1:13" ht="15" x14ac:dyDescent="0.25">
      <c r="A116" s="115"/>
      <c r="B116" s="112" t="s">
        <v>118</v>
      </c>
      <c r="C116" s="36" t="s">
        <v>91</v>
      </c>
      <c r="D116" s="80">
        <v>2.7492299999999998</v>
      </c>
      <c r="E116" s="80">
        <v>2.7080099999999998</v>
      </c>
      <c r="F116" s="80">
        <v>3.0200000000000001E-3</v>
      </c>
      <c r="G116" s="80">
        <v>3.8199999999999998E-2</v>
      </c>
      <c r="H116" s="40"/>
      <c r="J116" s="91"/>
      <c r="K116" s="91"/>
      <c r="L116" s="91"/>
      <c r="M116" s="91"/>
    </row>
    <row r="117" spans="1:13" ht="15" x14ac:dyDescent="0.25">
      <c r="A117" s="115"/>
      <c r="B117" s="112" t="s">
        <v>118</v>
      </c>
      <c r="C117" s="36" t="s">
        <v>92</v>
      </c>
      <c r="D117" s="80">
        <v>0.27457999999999999</v>
      </c>
      <c r="E117" s="80">
        <v>0.27046999999999999</v>
      </c>
      <c r="F117" s="80">
        <v>2.9999999999999997E-4</v>
      </c>
      <c r="G117" s="80">
        <v>3.81E-3</v>
      </c>
      <c r="H117" s="40"/>
      <c r="J117" s="91"/>
      <c r="K117" s="91"/>
      <c r="L117" s="91"/>
      <c r="M117" s="91"/>
    </row>
    <row r="118" spans="1:13" ht="15" x14ac:dyDescent="0.25">
      <c r="A118" s="115"/>
      <c r="B118" s="113" t="s">
        <v>118</v>
      </c>
      <c r="C118" s="36" t="s">
        <v>93</v>
      </c>
      <c r="D118" s="80">
        <v>0.25641000000000003</v>
      </c>
      <c r="E118" s="80">
        <v>0.25256000000000001</v>
      </c>
      <c r="F118" s="80">
        <v>2.7999999999999998E-4</v>
      </c>
      <c r="G118" s="80">
        <v>3.5699999999999998E-3</v>
      </c>
      <c r="H118" s="40"/>
      <c r="J118" s="91"/>
      <c r="K118" s="91"/>
      <c r="L118" s="91"/>
      <c r="M118" s="91"/>
    </row>
    <row r="119" spans="1:13" ht="15" x14ac:dyDescent="0.25">
      <c r="A119" s="115"/>
      <c r="B119" s="111" t="s">
        <v>119</v>
      </c>
      <c r="C119" s="36" t="s">
        <v>90</v>
      </c>
      <c r="D119" s="80">
        <v>3245.3044100000002</v>
      </c>
      <c r="E119" s="80">
        <v>3205.99</v>
      </c>
      <c r="F119" s="80">
        <v>0.90720000000000001</v>
      </c>
      <c r="G119" s="80">
        <v>38.407209999999999</v>
      </c>
      <c r="H119" s="40"/>
      <c r="J119" s="81"/>
      <c r="K119" s="81"/>
      <c r="L119" s="81"/>
      <c r="M119" s="81"/>
    </row>
    <row r="120" spans="1:13" ht="15" x14ac:dyDescent="0.25">
      <c r="A120" s="115"/>
      <c r="B120" s="112"/>
      <c r="C120" s="36" t="s">
        <v>91</v>
      </c>
      <c r="D120" s="80">
        <v>2.7713899999999998</v>
      </c>
      <c r="E120" s="80">
        <v>2.7378200000000001</v>
      </c>
      <c r="F120" s="80">
        <v>7.6999999999999996E-4</v>
      </c>
      <c r="G120" s="80">
        <v>3.2800000000000003E-2</v>
      </c>
      <c r="H120" s="40"/>
      <c r="J120" s="81"/>
      <c r="K120" s="81"/>
      <c r="L120" s="81"/>
      <c r="M120" s="81"/>
    </row>
    <row r="121" spans="1:13" ht="15" x14ac:dyDescent="0.25">
      <c r="A121" s="115"/>
      <c r="B121" s="112"/>
      <c r="C121" s="36" t="s">
        <v>92</v>
      </c>
      <c r="D121" s="80">
        <v>0.27445999999999998</v>
      </c>
      <c r="E121" s="80">
        <v>0.27112999999999998</v>
      </c>
      <c r="F121" s="80">
        <v>8.0000000000000007E-5</v>
      </c>
      <c r="G121" s="80">
        <v>3.2499999999999999E-3</v>
      </c>
      <c r="H121" s="40"/>
      <c r="J121" s="81"/>
      <c r="K121" s="81"/>
      <c r="L121" s="81"/>
      <c r="M121" s="81"/>
    </row>
    <row r="122" spans="1:13" ht="15" x14ac:dyDescent="0.25">
      <c r="A122" s="115"/>
      <c r="B122" s="113"/>
      <c r="C122" s="36" t="s">
        <v>93</v>
      </c>
      <c r="D122" s="80">
        <v>0.25797999999999999</v>
      </c>
      <c r="E122" s="80">
        <v>0.25485999999999998</v>
      </c>
      <c r="F122" s="80">
        <v>6.9999999999999994E-5</v>
      </c>
      <c r="G122" s="80">
        <v>3.0500000000000002E-3</v>
      </c>
      <c r="H122" s="40"/>
      <c r="J122" s="81"/>
      <c r="K122" s="81"/>
      <c r="L122" s="81"/>
      <c r="M122" s="81"/>
    </row>
    <row r="123" spans="1:13" ht="15" x14ac:dyDescent="0.25">
      <c r="A123" s="115"/>
      <c r="B123" s="111" t="s">
        <v>120</v>
      </c>
      <c r="C123" s="36" t="s">
        <v>90</v>
      </c>
      <c r="D123" s="80">
        <v>3154.7533400000002</v>
      </c>
      <c r="E123" s="80">
        <v>3113.99</v>
      </c>
      <c r="F123" s="80">
        <v>1.4224000000000001</v>
      </c>
      <c r="G123" s="80">
        <v>39.340940000000003</v>
      </c>
      <c r="H123" s="40"/>
      <c r="J123" s="81"/>
      <c r="K123" s="81"/>
      <c r="L123" s="81"/>
      <c r="M123" s="81"/>
    </row>
    <row r="124" spans="1:13" ht="15" x14ac:dyDescent="0.25">
      <c r="A124" s="115"/>
      <c r="B124" s="112"/>
      <c r="C124" s="36" t="s">
        <v>91</v>
      </c>
      <c r="D124" s="80">
        <v>3.10202</v>
      </c>
      <c r="E124" s="80">
        <v>3.0619399999999999</v>
      </c>
      <c r="F124" s="80">
        <v>1.4E-3</v>
      </c>
      <c r="G124" s="80">
        <v>3.8679999999999999E-2</v>
      </c>
      <c r="H124" s="40"/>
      <c r="J124" s="81"/>
      <c r="K124" s="81"/>
      <c r="L124" s="81"/>
      <c r="M124" s="81"/>
    </row>
    <row r="125" spans="1:13" ht="15" x14ac:dyDescent="0.25">
      <c r="A125" s="115"/>
      <c r="B125" s="112"/>
      <c r="C125" s="36" t="s">
        <v>92</v>
      </c>
      <c r="D125" s="80">
        <v>0.27868999999999999</v>
      </c>
      <c r="E125" s="80">
        <v>0.27509</v>
      </c>
      <c r="F125" s="80">
        <v>1.2E-4</v>
      </c>
      <c r="G125" s="80">
        <v>3.48E-3</v>
      </c>
      <c r="H125" s="40"/>
      <c r="J125" s="81"/>
      <c r="K125" s="81"/>
      <c r="L125" s="81"/>
      <c r="M125" s="81"/>
    </row>
    <row r="126" spans="1:13" ht="15" x14ac:dyDescent="0.25">
      <c r="A126" s="116"/>
      <c r="B126" s="113"/>
      <c r="C126" s="36" t="s">
        <v>93</v>
      </c>
      <c r="D126" s="80">
        <v>0.26196000000000003</v>
      </c>
      <c r="E126" s="80">
        <v>0.25857999999999998</v>
      </c>
      <c r="F126" s="80">
        <v>1.2E-4</v>
      </c>
      <c r="G126" s="80">
        <v>3.2599999999999999E-3</v>
      </c>
      <c r="H126" s="40"/>
      <c r="J126" s="81"/>
      <c r="K126" s="81"/>
      <c r="L126" s="81"/>
      <c r="M126" s="81"/>
    </row>
    <row r="127" spans="1:13" ht="15" x14ac:dyDescent="0.25">
      <c r="A127" s="44"/>
      <c r="B127" s="44"/>
      <c r="C127" s="44"/>
      <c r="D127" s="45"/>
      <c r="E127" s="45"/>
      <c r="F127" s="45"/>
      <c r="G127" s="45"/>
      <c r="H127" s="16" t="s">
        <v>102</v>
      </c>
      <c r="J127" s="81"/>
      <c r="K127" s="81"/>
      <c r="L127" s="81"/>
      <c r="M127" s="81"/>
    </row>
    <row r="128" spans="1:13" ht="15" x14ac:dyDescent="0.25">
      <c r="A128" s="44"/>
      <c r="B128" s="44"/>
      <c r="C128" s="44"/>
      <c r="D128" s="45"/>
      <c r="E128" s="45"/>
      <c r="F128" s="45"/>
      <c r="G128" s="45"/>
      <c r="H128" s="16" t="s">
        <v>102</v>
      </c>
      <c r="J128" s="81"/>
      <c r="K128" s="81"/>
      <c r="L128" s="81"/>
      <c r="M128" s="81"/>
    </row>
    <row r="129" spans="1:13" ht="15" x14ac:dyDescent="0.25">
      <c r="A129" s="44"/>
      <c r="B129" s="44"/>
      <c r="C129" s="44"/>
      <c r="D129" s="45"/>
      <c r="E129" s="45"/>
      <c r="F129" s="45"/>
      <c r="G129" s="45"/>
      <c r="H129" s="16" t="s">
        <v>102</v>
      </c>
      <c r="J129" s="81"/>
      <c r="K129" s="81"/>
      <c r="L129" s="81"/>
      <c r="M129" s="81"/>
    </row>
    <row r="130" spans="1:13" ht="18" customHeight="1" x14ac:dyDescent="0.35">
      <c r="A130" s="35" t="s">
        <v>81</v>
      </c>
      <c r="B130" s="35" t="s">
        <v>82</v>
      </c>
      <c r="C130" s="35" t="s">
        <v>83</v>
      </c>
      <c r="D130" s="36" t="s">
        <v>84</v>
      </c>
      <c r="E130" s="36" t="s">
        <v>85</v>
      </c>
      <c r="F130" s="37" t="s">
        <v>86</v>
      </c>
      <c r="G130" s="37" t="s">
        <v>87</v>
      </c>
      <c r="J130" s="81"/>
      <c r="K130" s="81"/>
      <c r="L130" s="81"/>
      <c r="M130" s="81"/>
    </row>
    <row r="131" spans="1:13" ht="15" x14ac:dyDescent="0.25">
      <c r="A131" s="114" t="s">
        <v>121</v>
      </c>
      <c r="B131" s="117" t="s">
        <v>122</v>
      </c>
      <c r="C131" s="36" t="s">
        <v>90</v>
      </c>
      <c r="D131" s="80">
        <v>2399.4399400000002</v>
      </c>
      <c r="E131" s="84">
        <v>2374.87</v>
      </c>
      <c r="F131" s="80">
        <v>7.6383999999999999</v>
      </c>
      <c r="G131" s="80">
        <v>16.931539999999998</v>
      </c>
      <c r="H131" s="40"/>
      <c r="J131" s="81"/>
      <c r="K131" s="81"/>
      <c r="L131" s="81"/>
      <c r="M131" s="81"/>
    </row>
    <row r="132" spans="1:13" ht="15" x14ac:dyDescent="0.25">
      <c r="A132" s="115"/>
      <c r="B132" s="118"/>
      <c r="C132" s="36" t="s">
        <v>92</v>
      </c>
      <c r="D132" s="80">
        <v>0.34001999999999999</v>
      </c>
      <c r="E132" s="80">
        <v>0.33653</v>
      </c>
      <c r="F132" s="80">
        <v>1.09E-3</v>
      </c>
      <c r="G132" s="80">
        <v>2.3999999999999998E-3</v>
      </c>
      <c r="H132" s="40"/>
      <c r="J132" s="81"/>
      <c r="K132" s="81"/>
      <c r="L132" s="81"/>
      <c r="M132" s="81"/>
    </row>
    <row r="133" spans="1:13" ht="15" x14ac:dyDescent="0.25">
      <c r="A133" s="115"/>
      <c r="B133" s="119"/>
      <c r="C133" s="36" t="s">
        <v>93</v>
      </c>
      <c r="D133" s="80">
        <v>0.32301999999999997</v>
      </c>
      <c r="E133" s="80">
        <v>0.31970999999999999</v>
      </c>
      <c r="F133" s="80">
        <v>1.0300000000000001E-3</v>
      </c>
      <c r="G133" s="80">
        <v>2.2799999999999999E-3</v>
      </c>
      <c r="H133" s="40"/>
      <c r="J133" s="81"/>
      <c r="K133" s="81"/>
      <c r="L133" s="81"/>
      <c r="M133" s="81"/>
    </row>
    <row r="134" spans="1:13" ht="15" x14ac:dyDescent="0.25">
      <c r="A134" s="115"/>
      <c r="B134" s="117" t="s">
        <v>123</v>
      </c>
      <c r="C134" s="36" t="s">
        <v>90</v>
      </c>
      <c r="D134" s="80">
        <v>2262.1144800000002</v>
      </c>
      <c r="E134" s="84">
        <v>2250.2199999999998</v>
      </c>
      <c r="F134" s="80">
        <v>0.67200000000000004</v>
      </c>
      <c r="G134" s="80">
        <v>11.222479999999999</v>
      </c>
      <c r="H134" s="40"/>
      <c r="J134" s="81"/>
      <c r="K134" s="81"/>
      <c r="L134" s="81"/>
      <c r="M134" s="81"/>
    </row>
    <row r="135" spans="1:13" ht="15" x14ac:dyDescent="0.25">
      <c r="A135" s="115"/>
      <c r="B135" s="118"/>
      <c r="C135" s="36" t="s">
        <v>92</v>
      </c>
      <c r="D135" s="80">
        <v>0.33367999999999998</v>
      </c>
      <c r="E135" s="80">
        <v>0.33189999999999997</v>
      </c>
      <c r="F135" s="80">
        <v>1E-4</v>
      </c>
      <c r="G135" s="80">
        <v>1.6800000000000001E-3</v>
      </c>
      <c r="H135" s="40"/>
      <c r="J135" s="81"/>
      <c r="K135" s="81"/>
      <c r="L135" s="81"/>
      <c r="M135" s="81"/>
    </row>
    <row r="136" spans="1:13" ht="15" x14ac:dyDescent="0.25">
      <c r="A136" s="115"/>
      <c r="B136" s="119"/>
      <c r="C136" s="36" t="s">
        <v>93</v>
      </c>
      <c r="D136" s="80">
        <v>0.31698999999999999</v>
      </c>
      <c r="E136" s="80">
        <v>0.31530000000000002</v>
      </c>
      <c r="F136" s="80">
        <v>1E-4</v>
      </c>
      <c r="G136" s="80">
        <v>1.5900000000000001E-3</v>
      </c>
      <c r="H136" s="40"/>
      <c r="J136" s="81"/>
      <c r="K136" s="81"/>
      <c r="L136" s="81"/>
      <c r="M136" s="81"/>
    </row>
    <row r="137" spans="1:13" ht="15" x14ac:dyDescent="0.25">
      <c r="A137" s="115"/>
      <c r="B137" s="117" t="s">
        <v>124</v>
      </c>
      <c r="C137" s="36" t="s">
        <v>90</v>
      </c>
      <c r="D137" s="80">
        <v>2904.9523399999998</v>
      </c>
      <c r="E137" s="84">
        <v>2632</v>
      </c>
      <c r="F137" s="80">
        <v>240.352</v>
      </c>
      <c r="G137" s="80">
        <v>32.600340000000003</v>
      </c>
      <c r="H137" s="40"/>
      <c r="J137" s="81"/>
      <c r="K137" s="81"/>
      <c r="L137" s="81"/>
      <c r="M137" s="81"/>
    </row>
    <row r="138" spans="1:13" ht="15" x14ac:dyDescent="0.25">
      <c r="A138" s="115"/>
      <c r="B138" s="118"/>
      <c r="C138" s="36" t="s">
        <v>92</v>
      </c>
      <c r="D138" s="80">
        <v>0.36548999999999998</v>
      </c>
      <c r="E138" s="80">
        <v>0.33115</v>
      </c>
      <c r="F138" s="80">
        <v>3.024E-2</v>
      </c>
      <c r="G138" s="80">
        <v>4.1000000000000003E-3</v>
      </c>
      <c r="H138" s="40"/>
      <c r="J138" s="81"/>
      <c r="K138" s="81"/>
      <c r="L138" s="81"/>
      <c r="M138" s="81"/>
    </row>
    <row r="139" spans="1:13" ht="15" x14ac:dyDescent="0.25">
      <c r="A139" s="115"/>
      <c r="B139" s="119"/>
      <c r="C139" s="36" t="s">
        <v>93</v>
      </c>
      <c r="D139" s="80">
        <v>0.34721000000000002</v>
      </c>
      <c r="E139" s="80">
        <v>0.31458999999999998</v>
      </c>
      <c r="F139" s="80">
        <v>2.8729999999999999E-2</v>
      </c>
      <c r="G139" s="80">
        <v>3.8899999999999998E-3</v>
      </c>
      <c r="H139" s="40"/>
      <c r="J139" s="81"/>
      <c r="K139" s="81"/>
      <c r="L139" s="81"/>
      <c r="M139" s="81"/>
    </row>
    <row r="140" spans="1:13" ht="15" x14ac:dyDescent="0.25">
      <c r="A140" s="115"/>
      <c r="B140" s="117" t="s">
        <v>125</v>
      </c>
      <c r="C140" s="36" t="s">
        <v>90</v>
      </c>
      <c r="D140" s="80">
        <v>3164.65002</v>
      </c>
      <c r="E140" s="80">
        <v>3144.16</v>
      </c>
      <c r="F140" s="80">
        <v>8.4672000000000001</v>
      </c>
      <c r="G140" s="80">
        <v>12.022819999999999</v>
      </c>
      <c r="H140" s="40"/>
      <c r="J140" s="81"/>
      <c r="K140" s="81"/>
      <c r="L140" s="81"/>
      <c r="M140" s="81"/>
    </row>
    <row r="141" spans="1:13" ht="15" x14ac:dyDescent="0.25">
      <c r="A141" s="115"/>
      <c r="B141" s="118"/>
      <c r="C141" s="36" t="s">
        <v>92</v>
      </c>
      <c r="D141" s="80">
        <v>0.37674999999999997</v>
      </c>
      <c r="E141" s="80">
        <v>0.37430999999999998</v>
      </c>
      <c r="F141" s="80">
        <v>1.01E-3</v>
      </c>
      <c r="G141" s="80">
        <v>1.4300000000000001E-3</v>
      </c>
      <c r="H141" s="40"/>
      <c r="J141" s="81"/>
      <c r="K141" s="81"/>
      <c r="L141" s="81"/>
      <c r="M141" s="81"/>
    </row>
    <row r="142" spans="1:13" ht="15" x14ac:dyDescent="0.25">
      <c r="A142" s="115"/>
      <c r="B142" s="119"/>
      <c r="C142" s="36" t="s">
        <v>93</v>
      </c>
      <c r="D142" s="80">
        <v>0.3579</v>
      </c>
      <c r="E142" s="80">
        <v>0.35559000000000002</v>
      </c>
      <c r="F142" s="80">
        <v>9.5E-4</v>
      </c>
      <c r="G142" s="80">
        <v>1.3600000000000001E-3</v>
      </c>
      <c r="H142" s="40"/>
      <c r="J142" s="81"/>
      <c r="K142" s="81"/>
      <c r="L142" s="81"/>
      <c r="M142" s="81"/>
    </row>
    <row r="143" spans="1:13" ht="15" x14ac:dyDescent="0.25">
      <c r="A143" s="115"/>
      <c r="B143" s="117" t="s">
        <v>126</v>
      </c>
      <c r="C143" s="36" t="s">
        <v>90</v>
      </c>
      <c r="D143" s="80">
        <v>3386.57168</v>
      </c>
      <c r="E143" s="80">
        <v>3377.05</v>
      </c>
      <c r="F143" s="80">
        <v>3.8304</v>
      </c>
      <c r="G143" s="80">
        <v>5.6912799999999999</v>
      </c>
      <c r="H143" s="40"/>
      <c r="J143" s="81"/>
      <c r="K143" s="81"/>
      <c r="L143" s="81"/>
      <c r="M143" s="81"/>
    </row>
    <row r="144" spans="1:13" ht="15" x14ac:dyDescent="0.25">
      <c r="A144" s="115"/>
      <c r="B144" s="118"/>
      <c r="C144" s="36" t="s">
        <v>92</v>
      </c>
      <c r="D144" s="80">
        <v>0.35886000000000001</v>
      </c>
      <c r="E144" s="80">
        <v>0.35786000000000001</v>
      </c>
      <c r="F144" s="80">
        <v>4.0000000000000002E-4</v>
      </c>
      <c r="G144" s="80">
        <v>5.9999999999999995E-4</v>
      </c>
      <c r="H144" s="40"/>
      <c r="J144" s="81"/>
      <c r="K144" s="81"/>
      <c r="L144" s="81"/>
      <c r="M144" s="81"/>
    </row>
    <row r="145" spans="1:13" ht="15" x14ac:dyDescent="0.25">
      <c r="A145" s="115"/>
      <c r="B145" s="119"/>
      <c r="C145" s="36" t="s">
        <v>93</v>
      </c>
      <c r="D145" s="80">
        <v>0.34092</v>
      </c>
      <c r="E145" s="80">
        <v>0.33996999999999999</v>
      </c>
      <c r="F145" s="80">
        <v>3.8000000000000002E-4</v>
      </c>
      <c r="G145" s="80">
        <v>5.6999999999999998E-4</v>
      </c>
      <c r="H145" s="40"/>
      <c r="J145" s="81"/>
      <c r="K145" s="81"/>
      <c r="L145" s="81"/>
      <c r="M145" s="81"/>
    </row>
    <row r="146" spans="1:13" ht="15" x14ac:dyDescent="0.25">
      <c r="A146" s="115"/>
      <c r="B146" s="117" t="s">
        <v>127</v>
      </c>
      <c r="C146" s="36" t="s">
        <v>90</v>
      </c>
      <c r="D146" s="80">
        <v>2258.5866999999998</v>
      </c>
      <c r="E146" s="84">
        <v>2246.71</v>
      </c>
      <c r="F146" s="80">
        <v>0.67200000000000004</v>
      </c>
      <c r="G146" s="80">
        <v>11.204700000000001</v>
      </c>
      <c r="H146" s="40"/>
      <c r="J146" s="81"/>
      <c r="K146" s="81"/>
      <c r="L146" s="81"/>
      <c r="M146" s="81"/>
    </row>
    <row r="147" spans="1:13" ht="15" x14ac:dyDescent="0.25">
      <c r="A147" s="115"/>
      <c r="B147" s="118"/>
      <c r="C147" s="36" t="s">
        <v>92</v>
      </c>
      <c r="D147" s="80">
        <v>0.33367999999999998</v>
      </c>
      <c r="E147" s="80">
        <v>0.33189999999999997</v>
      </c>
      <c r="F147" s="80">
        <v>1E-4</v>
      </c>
      <c r="G147" s="80">
        <v>1.6800000000000001E-3</v>
      </c>
      <c r="H147" s="40"/>
      <c r="J147" s="81"/>
      <c r="K147" s="81"/>
      <c r="L147" s="81"/>
      <c r="M147" s="81"/>
    </row>
    <row r="148" spans="1:13" ht="15" x14ac:dyDescent="0.25">
      <c r="A148" s="116"/>
      <c r="B148" s="119"/>
      <c r="C148" s="36" t="s">
        <v>93</v>
      </c>
      <c r="D148" s="80">
        <v>0.31698999999999999</v>
      </c>
      <c r="E148" s="80">
        <v>0.31530000000000002</v>
      </c>
      <c r="F148" s="80">
        <v>1E-4</v>
      </c>
      <c r="G148" s="80">
        <v>1.5900000000000001E-3</v>
      </c>
      <c r="H148" s="40"/>
      <c r="J148" s="81"/>
      <c r="K148" s="81"/>
      <c r="L148" s="81"/>
      <c r="M148" s="81"/>
    </row>
    <row r="149" spans="1:13" ht="15" x14ac:dyDescent="0.2">
      <c r="J149" s="81"/>
      <c r="K149" s="81"/>
      <c r="L149" s="81"/>
      <c r="M149" s="81"/>
    </row>
    <row r="150" spans="1:13" ht="15" x14ac:dyDescent="0.2">
      <c r="A150" s="60"/>
      <c r="B150" s="60"/>
      <c r="C150" s="60"/>
      <c r="D150" s="60"/>
      <c r="E150" s="60"/>
      <c r="F150" s="60"/>
      <c r="G150" s="60"/>
      <c r="H150" s="60"/>
      <c r="I150" s="60"/>
      <c r="J150" s="60"/>
      <c r="K150" s="60"/>
      <c r="L150" s="60"/>
    </row>
    <row r="151" spans="1:13" ht="15.75" x14ac:dyDescent="0.2">
      <c r="A151" s="107" t="s">
        <v>128</v>
      </c>
      <c r="B151" s="107"/>
      <c r="C151" s="60"/>
      <c r="D151" s="60"/>
      <c r="E151" s="60"/>
      <c r="F151" s="60"/>
      <c r="G151" s="60"/>
      <c r="H151" s="60"/>
      <c r="I151" s="60"/>
      <c r="J151" s="60"/>
      <c r="K151" s="60"/>
      <c r="L151" s="60"/>
    </row>
    <row r="152" spans="1:13" ht="15" x14ac:dyDescent="0.2">
      <c r="A152" s="108" t="s">
        <v>129</v>
      </c>
      <c r="B152" s="108"/>
      <c r="C152" s="108"/>
      <c r="D152" s="108"/>
      <c r="E152" s="108"/>
      <c r="F152" s="108"/>
      <c r="G152" s="108"/>
      <c r="H152" s="108"/>
      <c r="I152" s="108"/>
      <c r="J152" s="108"/>
      <c r="K152" s="108"/>
      <c r="L152" s="61"/>
    </row>
    <row r="153" spans="1:13" ht="25.5" customHeight="1" x14ac:dyDescent="0.2">
      <c r="A153" s="109" t="s">
        <v>130</v>
      </c>
      <c r="B153" s="110"/>
      <c r="C153" s="110"/>
      <c r="D153" s="110"/>
      <c r="E153" s="110"/>
      <c r="F153" s="110"/>
      <c r="G153" s="110"/>
      <c r="H153" s="110"/>
      <c r="I153" s="110"/>
      <c r="J153" s="110"/>
      <c r="K153" s="110"/>
      <c r="L153" s="33"/>
    </row>
    <row r="154" spans="1:13" ht="17.25" customHeight="1" x14ac:dyDescent="0.2">
      <c r="A154" s="108" t="s">
        <v>131</v>
      </c>
      <c r="B154" s="108"/>
      <c r="C154" s="108"/>
      <c r="D154" s="108"/>
      <c r="E154" s="108"/>
      <c r="F154" s="108"/>
      <c r="G154" s="108"/>
      <c r="H154" s="108"/>
      <c r="I154" s="108"/>
      <c r="J154" s="108"/>
      <c r="K154" s="108"/>
      <c r="L154" s="61"/>
    </row>
    <row r="155" spans="1:13" s="16" customFormat="1" ht="115.5" customHeight="1" x14ac:dyDescent="0.2">
      <c r="A155" s="105" t="s">
        <v>132</v>
      </c>
      <c r="B155" s="105"/>
      <c r="C155" s="105"/>
      <c r="D155" s="105"/>
      <c r="E155" s="105"/>
      <c r="F155" s="105"/>
      <c r="G155" s="105"/>
      <c r="H155" s="105"/>
      <c r="I155" s="105"/>
      <c r="J155" s="105"/>
      <c r="K155" s="105"/>
      <c r="L155" s="61"/>
    </row>
    <row r="156" spans="1:13" ht="17.25" customHeight="1" x14ac:dyDescent="0.2"/>
    <row r="157" spans="1:13" s="16" customFormat="1" ht="15" x14ac:dyDescent="0.2">
      <c r="A157" s="108" t="s">
        <v>133</v>
      </c>
      <c r="B157" s="108"/>
      <c r="C157" s="108"/>
      <c r="D157" s="108"/>
      <c r="E157" s="108"/>
      <c r="F157" s="108"/>
      <c r="G157" s="108"/>
      <c r="H157" s="108"/>
      <c r="I157" s="108"/>
      <c r="J157" s="108"/>
      <c r="K157" s="108"/>
      <c r="L157" s="61"/>
    </row>
    <row r="158" spans="1:13" ht="108.75" customHeight="1" x14ac:dyDescent="0.2">
      <c r="A158" s="105" t="s">
        <v>160</v>
      </c>
      <c r="B158" s="105"/>
      <c r="C158" s="105"/>
      <c r="D158" s="105"/>
      <c r="E158" s="105"/>
      <c r="F158" s="105"/>
      <c r="G158" s="105"/>
      <c r="H158" s="105"/>
      <c r="I158" s="105"/>
      <c r="J158" s="105"/>
      <c r="K158" s="105"/>
      <c r="L158" s="61"/>
    </row>
    <row r="160" spans="1:13" s="16" customFormat="1" ht="20.25" customHeight="1" x14ac:dyDescent="0.2">
      <c r="A160" s="106" t="s">
        <v>135</v>
      </c>
      <c r="B160" s="106"/>
      <c r="C160" s="106"/>
      <c r="D160" s="106"/>
      <c r="E160" s="106"/>
      <c r="F160" s="106"/>
      <c r="G160" s="106"/>
      <c r="H160" s="106"/>
      <c r="I160" s="106"/>
      <c r="J160" s="106"/>
      <c r="K160" s="106"/>
      <c r="L160" s="106"/>
    </row>
  </sheetData>
  <mergeCells count="55">
    <mergeCell ref="M12:X12"/>
    <mergeCell ref="A13:L13"/>
    <mergeCell ref="A19:L19"/>
    <mergeCell ref="A8:L8"/>
    <mergeCell ref="A10:L10"/>
    <mergeCell ref="A11:L11"/>
    <mergeCell ref="A12:L12"/>
    <mergeCell ref="A14:L14"/>
    <mergeCell ref="A15:L15"/>
    <mergeCell ref="A16:L16"/>
    <mergeCell ref="A17:L17"/>
    <mergeCell ref="A18:L18"/>
    <mergeCell ref="A20:L20"/>
    <mergeCell ref="A23:A54"/>
    <mergeCell ref="B23:B26"/>
    <mergeCell ref="B27:B30"/>
    <mergeCell ref="B31:B34"/>
    <mergeCell ref="B35:B38"/>
    <mergeCell ref="B39:B42"/>
    <mergeCell ref="B43:B46"/>
    <mergeCell ref="B47:B50"/>
    <mergeCell ref="B51:B54"/>
    <mergeCell ref="B115:B118"/>
    <mergeCell ref="A59:A126"/>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9:B122"/>
    <mergeCell ref="B123:B126"/>
    <mergeCell ref="A131:A148"/>
    <mergeCell ref="B131:B133"/>
    <mergeCell ref="B134:B136"/>
    <mergeCell ref="B137:B139"/>
    <mergeCell ref="B140:B142"/>
    <mergeCell ref="B143:B145"/>
    <mergeCell ref="B146:B148"/>
    <mergeCell ref="A158:K158"/>
    <mergeCell ref="A160:L160"/>
    <mergeCell ref="A151:B151"/>
    <mergeCell ref="A152:K152"/>
    <mergeCell ref="A153:K153"/>
    <mergeCell ref="A154:K154"/>
    <mergeCell ref="A155:K155"/>
    <mergeCell ref="A157:K157"/>
  </mergeCells>
  <hyperlinks>
    <hyperlink ref="A153:K153" location="Conversions!A1" display="Defra provide a specific conversion table at the back of these listings to allow organisations to convert the conversion factors into different units where required.   Please see the ‘conversions’ listing." xr:uid="{F95EA111-2E3B-41B4-A215-1D51C6DB890F}"/>
    <hyperlink ref="A3" location="Index!A1" display="Index" xr:uid="{A04DCF24-5F00-4766-A290-E468368A5CED}"/>
    <hyperlink ref="A20:L20" location="'Outside of scopes'!A1" display="(For more information refer to the ‘outside of scopes’ tab for guidance)." xr:uid="{9975DAB7-3643-4A97-95C0-839BE8B8FFC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B7E99F5E-95E2-4340-84EF-C116B3A92CE3}"/>
  </hyperlinks>
  <pageMargins left="0.7" right="0.7" top="0.75" bottom="0.75" header="0.3" footer="0.3"/>
  <pageSetup paperSize="9" scale="37" fitToHeight="0" orientation="landscape" r:id="rId2"/>
  <headerFooter alignWithMargins="0"/>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A879-FBE8-4705-866D-B9736F3376D5}">
  <sheetPr>
    <tabColor theme="9" tint="0.39997558519241921"/>
    <pageSetUpPr fitToPage="1"/>
  </sheetPr>
  <dimension ref="A1:X160"/>
  <sheetViews>
    <sheetView topLeftCell="A23" zoomScaleNormal="100" workbookViewId="0">
      <selection activeCell="D42" sqref="D42"/>
    </sheetView>
  </sheetViews>
  <sheetFormatPr defaultColWidth="11.140625" defaultRowHeight="12.75" x14ac:dyDescent="0.2"/>
  <cols>
    <col min="1" max="1" width="16.5703125" style="16" customWidth="1"/>
    <col min="2" max="2" width="31.5703125" style="16" customWidth="1"/>
    <col min="3" max="3" width="14.5703125" style="16" customWidth="1"/>
    <col min="4" max="4" width="13" style="16" customWidth="1"/>
    <col min="5" max="5" width="20.7109375" style="16" bestFit="1" customWidth="1"/>
    <col min="6" max="6" width="20.5703125" style="16" bestFit="1" customWidth="1"/>
    <col min="7" max="7" width="21" style="16" bestFit="1" customWidth="1"/>
    <col min="8" max="8" width="41.5703125" style="16" customWidth="1"/>
    <col min="9" max="19" width="13.42578125" style="16" customWidth="1"/>
    <col min="20" max="24" width="11.140625" style="16"/>
    <col min="25" max="16384" width="11.140625" style="17"/>
  </cols>
  <sheetData>
    <row r="1" spans="1:24" s="14" customFormat="1" ht="11.25" x14ac:dyDescent="0.2">
      <c r="A1" s="14" t="s">
        <v>58</v>
      </c>
    </row>
    <row r="2" spans="1:24" ht="21" x14ac:dyDescent="0.35">
      <c r="A2" s="15" t="s">
        <v>59</v>
      </c>
      <c r="B2" s="15"/>
      <c r="C2" s="15"/>
      <c r="D2" s="15"/>
      <c r="E2" s="15"/>
      <c r="F2" s="15"/>
    </row>
    <row r="3" spans="1:24" x14ac:dyDescent="0.2">
      <c r="A3" s="18" t="s">
        <v>60</v>
      </c>
    </row>
    <row r="4" spans="1:24" s="21" customFormat="1" ht="7.5" thickBot="1" x14ac:dyDescent="0.2">
      <c r="A4" s="19"/>
      <c r="B4" s="19"/>
      <c r="C4" s="19"/>
      <c r="D4" s="19"/>
      <c r="E4" s="19"/>
      <c r="F4" s="20"/>
      <c r="G4" s="20"/>
      <c r="H4" s="20"/>
      <c r="I4" s="19"/>
      <c r="J4" s="19"/>
      <c r="K4" s="19"/>
      <c r="L4" s="19"/>
      <c r="M4" s="19"/>
      <c r="N4" s="19"/>
      <c r="O4" s="19"/>
      <c r="P4" s="19"/>
      <c r="Q4" s="19"/>
      <c r="R4" s="19"/>
      <c r="S4" s="19"/>
      <c r="T4" s="19"/>
      <c r="U4" s="19"/>
      <c r="V4" s="19"/>
      <c r="W4" s="19"/>
      <c r="X4" s="19"/>
    </row>
    <row r="5" spans="1:24" ht="31.35" customHeight="1" thickTop="1" x14ac:dyDescent="0.2">
      <c r="A5" s="22" t="s">
        <v>61</v>
      </c>
      <c r="B5" s="23" t="s">
        <v>59</v>
      </c>
      <c r="C5" s="22" t="s">
        <v>62</v>
      </c>
      <c r="D5" s="92" t="s">
        <v>165</v>
      </c>
      <c r="E5" s="25" t="s">
        <v>63</v>
      </c>
      <c r="F5" s="24" t="s">
        <v>64</v>
      </c>
    </row>
    <row r="6" spans="1:24" ht="14.25" thickBot="1" x14ac:dyDescent="0.3">
      <c r="A6" s="26" t="s">
        <v>65</v>
      </c>
      <c r="B6" s="27" t="s">
        <v>66</v>
      </c>
      <c r="C6" s="28" t="s">
        <v>67</v>
      </c>
      <c r="D6" s="29">
        <v>1</v>
      </c>
      <c r="E6" s="28" t="s">
        <v>68</v>
      </c>
      <c r="F6" s="30">
        <v>2025</v>
      </c>
    </row>
    <row r="7" spans="1:24" ht="14.25" thickTop="1" thickBot="1" x14ac:dyDescent="0.25"/>
    <row r="8" spans="1:24" ht="16.5" thickTop="1" thickBot="1" x14ac:dyDescent="0.3">
      <c r="A8" s="132" t="s">
        <v>69</v>
      </c>
      <c r="B8" s="133"/>
      <c r="C8" s="133"/>
      <c r="D8" s="133"/>
      <c r="E8" s="133"/>
      <c r="F8" s="133"/>
      <c r="G8" s="133"/>
      <c r="H8" s="133"/>
      <c r="I8" s="133"/>
      <c r="J8" s="133"/>
      <c r="K8" s="133"/>
      <c r="L8" s="134"/>
      <c r="M8" s="31"/>
    </row>
    <row r="9" spans="1:24" ht="15.75" thickTop="1" x14ac:dyDescent="0.25">
      <c r="A9" s="32"/>
      <c r="B9" s="32"/>
      <c r="C9" s="32"/>
      <c r="D9" s="32"/>
      <c r="E9" s="32"/>
      <c r="F9" s="32"/>
      <c r="G9" s="32"/>
      <c r="H9" s="33"/>
      <c r="I9" s="33"/>
      <c r="J9" s="33"/>
      <c r="K9" s="33"/>
      <c r="L9" s="33"/>
      <c r="M9" s="31"/>
    </row>
    <row r="10" spans="1:24" ht="15.75" x14ac:dyDescent="0.25">
      <c r="A10" s="135" t="s">
        <v>70</v>
      </c>
      <c r="B10" s="135"/>
      <c r="C10" s="135"/>
      <c r="D10" s="135"/>
      <c r="E10" s="135"/>
      <c r="F10" s="135"/>
      <c r="G10" s="135"/>
      <c r="H10" s="135"/>
      <c r="I10" s="135"/>
      <c r="J10" s="135"/>
      <c r="K10" s="135"/>
      <c r="L10" s="135"/>
      <c r="M10" s="31"/>
    </row>
    <row r="11" spans="1:24" ht="147.6" customHeight="1" x14ac:dyDescent="0.2">
      <c r="A11" s="105" t="s">
        <v>164</v>
      </c>
      <c r="B11" s="105"/>
      <c r="C11" s="105"/>
      <c r="D11" s="105"/>
      <c r="E11" s="105"/>
      <c r="F11" s="105"/>
      <c r="G11" s="105"/>
      <c r="H11" s="105"/>
      <c r="I11" s="105"/>
      <c r="J11" s="105"/>
      <c r="K11" s="105"/>
      <c r="L11" s="105"/>
      <c r="M11" s="34"/>
    </row>
    <row r="12" spans="1:24" ht="89.1" customHeight="1" x14ac:dyDescent="0.2">
      <c r="A12" s="105" t="s">
        <v>72</v>
      </c>
      <c r="B12" s="105"/>
      <c r="C12" s="105"/>
      <c r="D12" s="105"/>
      <c r="E12" s="105"/>
      <c r="F12" s="105"/>
      <c r="G12" s="105"/>
      <c r="H12" s="105"/>
      <c r="I12" s="105"/>
      <c r="J12" s="105"/>
      <c r="K12" s="105"/>
      <c r="L12" s="105"/>
      <c r="M12" s="136"/>
      <c r="N12" s="137"/>
      <c r="O12" s="137"/>
      <c r="P12" s="137"/>
      <c r="Q12" s="137"/>
      <c r="R12" s="137"/>
      <c r="S12" s="137"/>
      <c r="T12" s="137"/>
      <c r="U12" s="137"/>
      <c r="V12" s="137"/>
      <c r="W12" s="137"/>
      <c r="X12" s="137"/>
    </row>
    <row r="13" spans="1:24" ht="63.75" customHeight="1" x14ac:dyDescent="0.2">
      <c r="A13" s="105" t="s">
        <v>163</v>
      </c>
      <c r="B13" s="105"/>
      <c r="C13" s="105"/>
      <c r="D13" s="105"/>
      <c r="E13" s="105"/>
      <c r="F13" s="105"/>
      <c r="G13" s="105"/>
      <c r="H13" s="105"/>
      <c r="I13" s="105"/>
      <c r="J13" s="105"/>
      <c r="K13" s="105"/>
      <c r="L13" s="105"/>
      <c r="M13" s="34"/>
    </row>
    <row r="14" spans="1:24" ht="15.75" x14ac:dyDescent="0.25">
      <c r="A14" s="130" t="s">
        <v>74</v>
      </c>
      <c r="B14" s="131"/>
      <c r="C14" s="131"/>
      <c r="D14" s="131"/>
      <c r="E14" s="131"/>
      <c r="F14" s="131"/>
      <c r="G14" s="131"/>
      <c r="H14" s="131"/>
      <c r="I14" s="131"/>
      <c r="J14" s="131"/>
      <c r="K14" s="131"/>
      <c r="L14" s="131"/>
      <c r="M14" s="31"/>
    </row>
    <row r="15" spans="1:24" ht="15" customHeight="1" x14ac:dyDescent="0.25">
      <c r="A15" s="105" t="s">
        <v>75</v>
      </c>
      <c r="B15" s="105"/>
      <c r="C15" s="105"/>
      <c r="D15" s="105"/>
      <c r="E15" s="105"/>
      <c r="F15" s="105"/>
      <c r="G15" s="105"/>
      <c r="H15" s="105"/>
      <c r="I15" s="105"/>
      <c r="J15" s="105"/>
      <c r="K15" s="105"/>
      <c r="L15" s="105"/>
      <c r="M15" s="31"/>
    </row>
    <row r="16" spans="1:24" ht="22.35" customHeight="1" x14ac:dyDescent="0.25">
      <c r="A16" s="105" t="s">
        <v>76</v>
      </c>
      <c r="B16" s="105"/>
      <c r="C16" s="105"/>
      <c r="D16" s="105"/>
      <c r="E16" s="105"/>
      <c r="F16" s="105"/>
      <c r="G16" s="105"/>
      <c r="H16" s="105"/>
      <c r="I16" s="105"/>
      <c r="J16" s="105"/>
      <c r="K16" s="105"/>
      <c r="L16" s="105"/>
      <c r="M16" s="31"/>
    </row>
    <row r="17" spans="1:13" s="16" customFormat="1" ht="45" customHeight="1" x14ac:dyDescent="0.25">
      <c r="A17" s="105" t="s">
        <v>77</v>
      </c>
      <c r="B17" s="105"/>
      <c r="C17" s="105"/>
      <c r="D17" s="105"/>
      <c r="E17" s="105"/>
      <c r="F17" s="105"/>
      <c r="G17" s="105"/>
      <c r="H17" s="105"/>
      <c r="I17" s="105"/>
      <c r="J17" s="105"/>
      <c r="K17" s="105"/>
      <c r="L17" s="105"/>
      <c r="M17" s="31"/>
    </row>
    <row r="18" spans="1:13" s="16" customFormat="1" ht="53.45" customHeight="1" x14ac:dyDescent="0.25">
      <c r="A18" s="105" t="s">
        <v>159</v>
      </c>
      <c r="B18" s="105"/>
      <c r="C18" s="105"/>
      <c r="D18" s="105"/>
      <c r="E18" s="105"/>
      <c r="F18" s="105"/>
      <c r="G18" s="105"/>
      <c r="H18" s="105"/>
      <c r="I18" s="105"/>
      <c r="J18" s="105"/>
      <c r="K18" s="105"/>
      <c r="L18" s="105"/>
      <c r="M18" s="31"/>
    </row>
    <row r="19" spans="1:13" s="16" customFormat="1" ht="51.75" customHeight="1" x14ac:dyDescent="0.25">
      <c r="A19" s="105" t="s">
        <v>79</v>
      </c>
      <c r="B19" s="105"/>
      <c r="C19" s="105"/>
      <c r="D19" s="105"/>
      <c r="E19" s="105"/>
      <c r="F19" s="105"/>
      <c r="G19" s="105"/>
      <c r="H19" s="105"/>
      <c r="I19" s="105"/>
      <c r="J19" s="105"/>
      <c r="K19" s="105"/>
      <c r="L19" s="105"/>
      <c r="M19" s="31"/>
    </row>
    <row r="20" spans="1:13" s="16" customFormat="1" ht="32.25" customHeight="1" x14ac:dyDescent="0.25">
      <c r="A20" s="126" t="s">
        <v>80</v>
      </c>
      <c r="B20" s="126"/>
      <c r="C20" s="126"/>
      <c r="D20" s="126"/>
      <c r="E20" s="126"/>
      <c r="F20" s="126"/>
      <c r="G20" s="126"/>
      <c r="H20" s="126"/>
      <c r="I20" s="126"/>
      <c r="J20" s="126"/>
      <c r="K20" s="126"/>
      <c r="L20" s="126"/>
      <c r="M20" s="31"/>
    </row>
    <row r="21" spans="1:13" s="16" customFormat="1" ht="15" x14ac:dyDescent="0.25">
      <c r="A21" s="33"/>
      <c r="B21" s="33"/>
      <c r="C21" s="33"/>
      <c r="D21" s="33"/>
      <c r="E21" s="33"/>
      <c r="F21" s="33"/>
      <c r="G21" s="33"/>
      <c r="H21" s="33"/>
      <c r="I21" s="33"/>
      <c r="J21" s="33"/>
      <c r="K21" s="33"/>
      <c r="L21" s="33"/>
      <c r="M21" s="31"/>
    </row>
    <row r="22" spans="1:13" s="16" customFormat="1" ht="18" customHeight="1" x14ac:dyDescent="0.35">
      <c r="A22" s="35" t="s">
        <v>81</v>
      </c>
      <c r="B22" s="35" t="s">
        <v>82</v>
      </c>
      <c r="C22" s="35" t="s">
        <v>83</v>
      </c>
      <c r="D22" s="36" t="s">
        <v>84</v>
      </c>
      <c r="E22" s="36" t="s">
        <v>85</v>
      </c>
      <c r="F22" s="37" t="s">
        <v>86</v>
      </c>
      <c r="G22" s="37" t="s">
        <v>87</v>
      </c>
      <c r="H22" s="38"/>
      <c r="I22" s="33"/>
      <c r="J22" s="33"/>
      <c r="K22" s="33"/>
      <c r="L22" s="33"/>
      <c r="M22" s="31"/>
    </row>
    <row r="23" spans="1:13" s="16" customFormat="1" ht="15" x14ac:dyDescent="0.25">
      <c r="A23" s="127" t="s">
        <v>88</v>
      </c>
      <c r="B23" s="123" t="s">
        <v>89</v>
      </c>
      <c r="C23" s="36" t="s">
        <v>90</v>
      </c>
      <c r="D23" s="80">
        <v>3033.38067</v>
      </c>
      <c r="E23" s="80">
        <v>3029.26</v>
      </c>
      <c r="F23" s="80">
        <v>2.52</v>
      </c>
      <c r="G23" s="80">
        <v>1.60067</v>
      </c>
      <c r="H23" s="40"/>
      <c r="I23" s="33"/>
      <c r="J23" s="81"/>
      <c r="K23" s="81"/>
      <c r="L23" s="81"/>
      <c r="M23" s="81"/>
    </row>
    <row r="24" spans="1:13" s="16" customFormat="1" ht="15" x14ac:dyDescent="0.25">
      <c r="A24" s="128"/>
      <c r="B24" s="124" t="s">
        <v>89</v>
      </c>
      <c r="C24" s="36" t="s">
        <v>91</v>
      </c>
      <c r="D24" s="80">
        <v>1.74533</v>
      </c>
      <c r="E24" s="80">
        <v>1.7429600000000001</v>
      </c>
      <c r="F24" s="80">
        <v>1.4400000000000001E-3</v>
      </c>
      <c r="G24" s="80">
        <v>9.2000000000000003E-4</v>
      </c>
      <c r="H24" s="40"/>
      <c r="I24" s="41"/>
      <c r="J24" s="81"/>
      <c r="K24" s="81"/>
      <c r="L24" s="81"/>
      <c r="M24" s="81"/>
    </row>
    <row r="25" spans="1:13" s="16" customFormat="1" ht="15" x14ac:dyDescent="0.25">
      <c r="A25" s="128"/>
      <c r="B25" s="124" t="s">
        <v>89</v>
      </c>
      <c r="C25" s="36" t="s">
        <v>92</v>
      </c>
      <c r="D25" s="80">
        <v>0.24107000000000001</v>
      </c>
      <c r="E25" s="80">
        <v>0.24074000000000001</v>
      </c>
      <c r="F25" s="80">
        <v>2.0000000000000001E-4</v>
      </c>
      <c r="G25" s="80">
        <v>1.2E-4</v>
      </c>
      <c r="H25" s="40"/>
      <c r="I25" s="33"/>
      <c r="J25" s="81"/>
      <c r="K25" s="81"/>
      <c r="L25" s="81"/>
      <c r="M25" s="81"/>
    </row>
    <row r="26" spans="1:13" s="16" customFormat="1" ht="15" x14ac:dyDescent="0.25">
      <c r="A26" s="128"/>
      <c r="B26" s="125" t="s">
        <v>89</v>
      </c>
      <c r="C26" s="36" t="s">
        <v>93</v>
      </c>
      <c r="D26" s="80">
        <v>0.22241</v>
      </c>
      <c r="E26" s="80">
        <v>0.22209999999999999</v>
      </c>
      <c r="F26" s="80">
        <v>1.9000000000000001E-4</v>
      </c>
      <c r="G26" s="80">
        <v>1.2E-4</v>
      </c>
      <c r="H26" s="40"/>
      <c r="I26" s="33"/>
      <c r="J26" s="81"/>
      <c r="K26" s="81"/>
      <c r="L26" s="81"/>
      <c r="M26" s="81"/>
    </row>
    <row r="27" spans="1:13" s="16" customFormat="1" ht="15" x14ac:dyDescent="0.25">
      <c r="A27" s="128"/>
      <c r="B27" s="123" t="s">
        <v>94</v>
      </c>
      <c r="C27" s="36" t="s">
        <v>90</v>
      </c>
      <c r="D27" s="80">
        <v>2575.46441</v>
      </c>
      <c r="E27" s="80">
        <v>2570.42</v>
      </c>
      <c r="F27" s="80">
        <v>3.8527999999999998</v>
      </c>
      <c r="G27" s="80">
        <v>1.1916100000000001</v>
      </c>
      <c r="H27" s="40"/>
      <c r="J27" s="81"/>
      <c r="K27" s="81"/>
      <c r="L27" s="81"/>
      <c r="M27" s="81"/>
    </row>
    <row r="28" spans="1:13" s="16" customFormat="1" ht="15" x14ac:dyDescent="0.25">
      <c r="A28" s="128"/>
      <c r="B28" s="124"/>
      <c r="C28" s="36" t="s">
        <v>91</v>
      </c>
      <c r="D28" s="80">
        <v>0.45069999999999999</v>
      </c>
      <c r="E28" s="80">
        <v>0.44982</v>
      </c>
      <c r="F28" s="80">
        <v>6.7000000000000002E-4</v>
      </c>
      <c r="G28" s="80">
        <v>2.0000000000000001E-4</v>
      </c>
      <c r="H28" s="40"/>
      <c r="J28" s="81"/>
      <c r="K28" s="81"/>
      <c r="L28" s="81"/>
      <c r="M28" s="81"/>
    </row>
    <row r="29" spans="1:13" s="16" customFormat="1" ht="15" x14ac:dyDescent="0.25">
      <c r="A29" s="128"/>
      <c r="B29" s="124"/>
      <c r="C29" s="36" t="s">
        <v>92</v>
      </c>
      <c r="D29" s="80">
        <v>0.20269999999999999</v>
      </c>
      <c r="E29" s="80">
        <v>0.20229</v>
      </c>
      <c r="F29" s="80">
        <v>3.1E-4</v>
      </c>
      <c r="G29" s="80">
        <v>1E-4</v>
      </c>
      <c r="H29" s="40"/>
      <c r="J29" s="81"/>
      <c r="K29" s="81"/>
      <c r="L29" s="81"/>
      <c r="M29" s="81"/>
    </row>
    <row r="30" spans="1:13" s="16" customFormat="1" ht="15" x14ac:dyDescent="0.25">
      <c r="A30" s="128"/>
      <c r="B30" s="125"/>
      <c r="C30" s="36" t="s">
        <v>93</v>
      </c>
      <c r="D30" s="80">
        <v>0.18296000000000001</v>
      </c>
      <c r="E30" s="80">
        <v>0.18259</v>
      </c>
      <c r="F30" s="80">
        <v>2.7999999999999998E-4</v>
      </c>
      <c r="G30" s="80">
        <v>9.0000000000000006E-5</v>
      </c>
      <c r="H30" s="40"/>
      <c r="J30" s="81"/>
      <c r="K30" s="81"/>
      <c r="L30" s="81"/>
      <c r="M30" s="81"/>
    </row>
    <row r="31" spans="1:13" s="16" customFormat="1" ht="15" x14ac:dyDescent="0.25">
      <c r="A31" s="128"/>
      <c r="B31" s="123" t="s">
        <v>95</v>
      </c>
      <c r="C31" s="36" t="s">
        <v>90</v>
      </c>
      <c r="D31" s="80">
        <v>2603.3044100000002</v>
      </c>
      <c r="E31" s="80">
        <v>2598.2600000000002</v>
      </c>
      <c r="F31" s="80">
        <v>3.8527999999999998</v>
      </c>
      <c r="G31" s="80">
        <v>1.1916100000000001</v>
      </c>
      <c r="H31" s="40"/>
      <c r="J31" s="81"/>
      <c r="K31" s="81"/>
      <c r="L31" s="81"/>
      <c r="M31" s="81"/>
    </row>
    <row r="32" spans="1:13" s="16" customFormat="1" ht="15" x14ac:dyDescent="0.25">
      <c r="A32" s="128"/>
      <c r="B32" s="124"/>
      <c r="C32" s="36" t="s">
        <v>91</v>
      </c>
      <c r="D32" s="80">
        <v>1.17797</v>
      </c>
      <c r="E32" s="80">
        <v>1.1756800000000001</v>
      </c>
      <c r="F32" s="80">
        <v>1.75E-3</v>
      </c>
      <c r="G32" s="80">
        <v>5.4000000000000001E-4</v>
      </c>
      <c r="H32" s="40"/>
      <c r="J32" s="81"/>
      <c r="K32" s="81"/>
      <c r="L32" s="81"/>
      <c r="M32" s="81"/>
    </row>
    <row r="33" spans="1:13" s="16" customFormat="1" ht="15" x14ac:dyDescent="0.25">
      <c r="A33" s="128"/>
      <c r="B33" s="124"/>
      <c r="C33" s="36" t="s">
        <v>92</v>
      </c>
      <c r="D33" s="80">
        <v>0.20488999999999999</v>
      </c>
      <c r="E33" s="82">
        <v>0.20448</v>
      </c>
      <c r="F33" s="80">
        <v>3.1E-4</v>
      </c>
      <c r="G33" s="80">
        <v>1E-4</v>
      </c>
      <c r="H33" s="40"/>
      <c r="J33" s="81"/>
      <c r="K33" s="81"/>
      <c r="L33" s="81"/>
      <c r="M33" s="81"/>
    </row>
    <row r="34" spans="1:13" s="16" customFormat="1" ht="15" x14ac:dyDescent="0.25">
      <c r="A34" s="128"/>
      <c r="B34" s="125"/>
      <c r="C34" s="36" t="s">
        <v>93</v>
      </c>
      <c r="D34" s="80">
        <v>0.18493999999999999</v>
      </c>
      <c r="E34" s="80">
        <v>0.18457000000000001</v>
      </c>
      <c r="F34" s="80">
        <v>2.7999999999999998E-4</v>
      </c>
      <c r="G34" s="80">
        <v>9.0000000000000006E-5</v>
      </c>
      <c r="H34" s="40"/>
      <c r="J34" s="81"/>
      <c r="K34" s="81"/>
      <c r="L34" s="81"/>
      <c r="M34" s="81"/>
    </row>
    <row r="35" spans="1:13" s="16" customFormat="1" ht="15" x14ac:dyDescent="0.25">
      <c r="A35" s="128"/>
      <c r="B35" s="123" t="s">
        <v>96</v>
      </c>
      <c r="C35" s="36" t="s">
        <v>90</v>
      </c>
      <c r="D35" s="80">
        <v>2939.3609499999998</v>
      </c>
      <c r="E35" s="80">
        <v>2935.18</v>
      </c>
      <c r="F35" s="80">
        <v>2.5535999999999999</v>
      </c>
      <c r="G35" s="80">
        <v>1.6273500000000001</v>
      </c>
      <c r="H35" s="40"/>
      <c r="J35" s="81"/>
      <c r="K35" s="81"/>
      <c r="L35" s="81"/>
      <c r="M35" s="81"/>
    </row>
    <row r="36" spans="1:13" s="16" customFormat="1" ht="15" x14ac:dyDescent="0.25">
      <c r="A36" s="128"/>
      <c r="B36" s="124"/>
      <c r="C36" s="36" t="s">
        <v>91</v>
      </c>
      <c r="D36" s="80">
        <v>1.5571299999999999</v>
      </c>
      <c r="E36" s="80">
        <v>1.55491</v>
      </c>
      <c r="F36" s="80">
        <v>1.3600000000000001E-3</v>
      </c>
      <c r="G36" s="80">
        <v>8.5999999999999998E-4</v>
      </c>
      <c r="H36" s="40"/>
      <c r="J36" s="81"/>
      <c r="K36" s="81"/>
      <c r="L36" s="81"/>
      <c r="M36" s="81"/>
    </row>
    <row r="37" spans="1:13" s="16" customFormat="1" ht="15" x14ac:dyDescent="0.25">
      <c r="A37" s="128"/>
      <c r="B37" s="124"/>
      <c r="C37" s="36" t="s">
        <v>92</v>
      </c>
      <c r="D37" s="80">
        <v>0.23032</v>
      </c>
      <c r="E37" s="80">
        <v>0.22999</v>
      </c>
      <c r="F37" s="80">
        <v>2.0000000000000001E-4</v>
      </c>
      <c r="G37" s="80">
        <v>1.2E-4</v>
      </c>
      <c r="H37" s="40"/>
      <c r="J37" s="81"/>
      <c r="K37" s="81"/>
      <c r="L37" s="81"/>
      <c r="M37" s="81"/>
    </row>
    <row r="38" spans="1:13" s="16" customFormat="1" ht="15" x14ac:dyDescent="0.25">
      <c r="A38" s="128"/>
      <c r="B38" s="125"/>
      <c r="C38" s="36" t="s">
        <v>93</v>
      </c>
      <c r="D38" s="80">
        <v>0.2145</v>
      </c>
      <c r="E38" s="80">
        <v>0.21418999999999999</v>
      </c>
      <c r="F38" s="80">
        <v>1.9000000000000001E-4</v>
      </c>
      <c r="G38" s="80">
        <v>1.2E-4</v>
      </c>
      <c r="H38" s="40"/>
      <c r="J38" s="81"/>
      <c r="K38" s="81"/>
      <c r="L38" s="81"/>
      <c r="M38" s="81"/>
    </row>
    <row r="39" spans="1:13" s="16" customFormat="1" ht="15" x14ac:dyDescent="0.25">
      <c r="A39" s="128"/>
      <c r="B39" s="123" t="s">
        <v>97</v>
      </c>
      <c r="C39" s="36" t="s">
        <v>90</v>
      </c>
      <c r="D39" s="80">
        <v>2575.46441</v>
      </c>
      <c r="E39" s="80">
        <v>2570.42</v>
      </c>
      <c r="F39" s="80">
        <v>3.8527999999999998</v>
      </c>
      <c r="G39" s="80">
        <v>1.1916100000000001</v>
      </c>
      <c r="H39" s="40"/>
      <c r="J39" s="81"/>
      <c r="K39" s="81"/>
      <c r="L39" s="81"/>
      <c r="M39" s="81"/>
    </row>
    <row r="40" spans="1:13" s="16" customFormat="1" ht="15" x14ac:dyDescent="0.25">
      <c r="A40" s="128"/>
      <c r="B40" s="124"/>
      <c r="C40" s="36" t="s">
        <v>98</v>
      </c>
      <c r="D40" s="80">
        <v>2.0667200000000001</v>
      </c>
      <c r="E40" s="80">
        <v>2.0627</v>
      </c>
      <c r="F40" s="80">
        <v>3.0699999999999998E-3</v>
      </c>
      <c r="G40" s="80">
        <v>9.5E-4</v>
      </c>
      <c r="H40" s="40"/>
      <c r="J40" s="81"/>
      <c r="K40" s="81"/>
      <c r="L40" s="81"/>
      <c r="M40" s="81"/>
    </row>
    <row r="41" spans="1:13" s="16" customFormat="1" ht="15" x14ac:dyDescent="0.25">
      <c r="A41" s="128"/>
      <c r="B41" s="124"/>
      <c r="C41" s="36" t="s">
        <v>92</v>
      </c>
      <c r="D41" s="80">
        <v>0.20269999999999999</v>
      </c>
      <c r="E41" s="80">
        <v>0.20229</v>
      </c>
      <c r="F41" s="80">
        <v>3.1E-4</v>
      </c>
      <c r="G41" s="80">
        <v>1E-4</v>
      </c>
      <c r="H41" s="40"/>
      <c r="J41" s="81"/>
      <c r="K41" s="81"/>
      <c r="L41" s="81"/>
      <c r="M41" s="81"/>
    </row>
    <row r="42" spans="1:13" s="16" customFormat="1" ht="15" x14ac:dyDescent="0.25">
      <c r="A42" s="128"/>
      <c r="B42" s="125"/>
      <c r="C42" s="36" t="s">
        <v>93</v>
      </c>
      <c r="D42" s="94">
        <v>0.18296000000000001</v>
      </c>
      <c r="E42" s="80">
        <v>0.18259</v>
      </c>
      <c r="F42" s="80">
        <v>2.7999999999999998E-4</v>
      </c>
      <c r="G42" s="80">
        <v>9.0000000000000006E-5</v>
      </c>
      <c r="H42" s="40"/>
      <c r="J42" s="81"/>
      <c r="K42" s="81"/>
      <c r="L42" s="81"/>
      <c r="M42" s="81"/>
    </row>
    <row r="43" spans="1:13" s="16" customFormat="1" ht="15" x14ac:dyDescent="0.25">
      <c r="A43" s="128"/>
      <c r="B43" s="123" t="s">
        <v>99</v>
      </c>
      <c r="C43" s="36" t="s">
        <v>90</v>
      </c>
      <c r="D43" s="80">
        <v>2603.3044100000002</v>
      </c>
      <c r="E43" s="80">
        <v>2598.2600000000002</v>
      </c>
      <c r="F43" s="80">
        <v>3.8527999999999998</v>
      </c>
      <c r="G43" s="80">
        <v>1.1916100000000001</v>
      </c>
      <c r="H43" s="40"/>
      <c r="J43" s="81"/>
      <c r="K43" s="81"/>
      <c r="L43" s="81"/>
      <c r="M43" s="81"/>
    </row>
    <row r="44" spans="1:13" s="16" customFormat="1" ht="15" x14ac:dyDescent="0.25">
      <c r="A44" s="128"/>
      <c r="B44" s="124"/>
      <c r="C44" s="36" t="s">
        <v>98</v>
      </c>
      <c r="D44" s="80">
        <v>2.0890599999999999</v>
      </c>
      <c r="E44" s="80">
        <v>2.0850399999999998</v>
      </c>
      <c r="F44" s="80">
        <v>3.0699999999999998E-3</v>
      </c>
      <c r="G44" s="80">
        <v>9.5E-4</v>
      </c>
      <c r="H44" s="40"/>
      <c r="J44" s="81"/>
      <c r="K44" s="81"/>
      <c r="L44" s="81"/>
      <c r="M44" s="81"/>
    </row>
    <row r="45" spans="1:13" s="16" customFormat="1" ht="15" x14ac:dyDescent="0.25">
      <c r="A45" s="128"/>
      <c r="B45" s="124"/>
      <c r="C45" s="36" t="s">
        <v>92</v>
      </c>
      <c r="D45" s="80">
        <v>0.20488999999999999</v>
      </c>
      <c r="E45" s="80">
        <v>0.20448</v>
      </c>
      <c r="F45" s="80">
        <v>3.1E-4</v>
      </c>
      <c r="G45" s="80">
        <v>1E-4</v>
      </c>
      <c r="H45" s="40"/>
      <c r="J45" s="81"/>
      <c r="K45" s="81"/>
      <c r="L45" s="81"/>
      <c r="M45" s="81"/>
    </row>
    <row r="46" spans="1:13" s="16" customFormat="1" ht="15" x14ac:dyDescent="0.25">
      <c r="A46" s="128"/>
      <c r="B46" s="125"/>
      <c r="C46" s="36" t="s">
        <v>93</v>
      </c>
      <c r="D46" s="80">
        <v>0.18493999999999999</v>
      </c>
      <c r="E46" s="80">
        <v>0.18457000000000001</v>
      </c>
      <c r="F46" s="80">
        <v>2.7999999999999998E-4</v>
      </c>
      <c r="G46" s="80">
        <v>9.0000000000000006E-5</v>
      </c>
      <c r="H46" s="40"/>
      <c r="J46" s="81"/>
      <c r="K46" s="81"/>
      <c r="L46" s="81"/>
      <c r="M46" s="81"/>
    </row>
    <row r="47" spans="1:13" s="16" customFormat="1" ht="15" x14ac:dyDescent="0.25">
      <c r="A47" s="128"/>
      <c r="B47" s="123" t="s">
        <v>100</v>
      </c>
      <c r="C47" s="36" t="s">
        <v>90</v>
      </c>
      <c r="D47" s="80">
        <v>2578.24647</v>
      </c>
      <c r="E47" s="80">
        <v>2575.6999999999998</v>
      </c>
      <c r="F47" s="80">
        <v>1.3104</v>
      </c>
      <c r="G47" s="80">
        <v>1.23607</v>
      </c>
      <c r="H47" s="40"/>
      <c r="J47" s="81"/>
      <c r="K47" s="81"/>
      <c r="L47" s="81"/>
      <c r="M47" s="81"/>
    </row>
    <row r="48" spans="1:13" s="16" customFormat="1" ht="15" x14ac:dyDescent="0.25">
      <c r="A48" s="128"/>
      <c r="B48" s="124"/>
      <c r="C48" s="36" t="s">
        <v>91</v>
      </c>
      <c r="D48" s="80">
        <v>0.94442000000000004</v>
      </c>
      <c r="E48" s="80">
        <v>0.94347999999999999</v>
      </c>
      <c r="F48" s="80">
        <v>4.8000000000000001E-4</v>
      </c>
      <c r="G48" s="80">
        <v>4.4999999999999999E-4</v>
      </c>
      <c r="H48" s="40"/>
      <c r="J48" s="81"/>
      <c r="K48" s="81"/>
      <c r="L48" s="81"/>
      <c r="M48" s="81"/>
    </row>
    <row r="49" spans="1:13" s="16" customFormat="1" ht="15" x14ac:dyDescent="0.25">
      <c r="A49" s="128"/>
      <c r="B49" s="124"/>
      <c r="C49" s="36" t="s">
        <v>92</v>
      </c>
      <c r="D49" s="80">
        <v>0.19917000000000001</v>
      </c>
      <c r="E49" s="80">
        <v>0.19897000000000001</v>
      </c>
      <c r="F49" s="80">
        <v>1E-4</v>
      </c>
      <c r="G49" s="80">
        <v>1E-4</v>
      </c>
      <c r="H49" s="40"/>
      <c r="J49" s="81"/>
      <c r="K49" s="81"/>
      <c r="L49" s="81"/>
      <c r="M49" s="81"/>
    </row>
    <row r="50" spans="1:13" s="16" customFormat="1" ht="15" x14ac:dyDescent="0.25">
      <c r="A50" s="128"/>
      <c r="B50" s="125"/>
      <c r="C50" s="36" t="s">
        <v>93</v>
      </c>
      <c r="D50" s="80">
        <v>0.18323</v>
      </c>
      <c r="E50" s="80">
        <v>0.18304999999999999</v>
      </c>
      <c r="F50" s="80">
        <v>9.0000000000000006E-5</v>
      </c>
      <c r="G50" s="80">
        <v>9.0000000000000006E-5</v>
      </c>
      <c r="H50" s="40"/>
      <c r="J50" s="81"/>
      <c r="K50" s="81"/>
      <c r="L50" s="81"/>
      <c r="M50" s="81"/>
    </row>
    <row r="51" spans="1:13" s="16" customFormat="1" ht="15" x14ac:dyDescent="0.25">
      <c r="A51" s="128"/>
      <c r="B51" s="123" t="s">
        <v>101</v>
      </c>
      <c r="C51" s="36" t="s">
        <v>90</v>
      </c>
      <c r="D51" s="80">
        <v>2997.6323299999999</v>
      </c>
      <c r="E51" s="80">
        <v>2993.4</v>
      </c>
      <c r="F51" s="80">
        <v>2.5872000000000002</v>
      </c>
      <c r="G51" s="80">
        <v>1.64513</v>
      </c>
      <c r="H51" s="40"/>
      <c r="J51" s="81"/>
      <c r="K51" s="81"/>
      <c r="L51" s="81"/>
      <c r="M51" s="81"/>
    </row>
    <row r="52" spans="1:13" s="16" customFormat="1" ht="15" x14ac:dyDescent="0.25">
      <c r="A52" s="128"/>
      <c r="B52" s="124" t="s">
        <v>101</v>
      </c>
      <c r="C52" s="36" t="s">
        <v>91</v>
      </c>
      <c r="D52" s="80">
        <v>1.54358</v>
      </c>
      <c r="E52" s="80">
        <v>1.5414000000000001</v>
      </c>
      <c r="F52" s="80">
        <v>1.33E-3</v>
      </c>
      <c r="G52" s="80">
        <v>8.4000000000000003E-4</v>
      </c>
      <c r="H52" s="40"/>
      <c r="J52" s="81"/>
      <c r="K52" s="81"/>
      <c r="L52" s="81"/>
      <c r="M52" s="81"/>
    </row>
    <row r="53" spans="1:13" s="16" customFormat="1" ht="15" x14ac:dyDescent="0.25">
      <c r="A53" s="128"/>
      <c r="B53" s="124" t="s">
        <v>101</v>
      </c>
      <c r="C53" s="36" t="s">
        <v>92</v>
      </c>
      <c r="D53" s="80">
        <v>0.23258000000000001</v>
      </c>
      <c r="E53" s="80">
        <v>0.23225000000000001</v>
      </c>
      <c r="F53" s="80">
        <v>2.0000000000000001E-4</v>
      </c>
      <c r="G53" s="80">
        <v>1.2E-4</v>
      </c>
      <c r="H53" s="40"/>
      <c r="J53" s="81"/>
      <c r="K53" s="81"/>
      <c r="L53" s="81"/>
      <c r="M53" s="81"/>
    </row>
    <row r="54" spans="1:13" s="16" customFormat="1" ht="15" x14ac:dyDescent="0.25">
      <c r="A54" s="129"/>
      <c r="B54" s="125" t="s">
        <v>101</v>
      </c>
      <c r="C54" s="36" t="s">
        <v>93</v>
      </c>
      <c r="D54" s="80">
        <v>0.21410000000000001</v>
      </c>
      <c r="E54" s="80">
        <v>0.21381</v>
      </c>
      <c r="F54" s="80">
        <v>1.8000000000000001E-4</v>
      </c>
      <c r="G54" s="80">
        <v>1.2E-4</v>
      </c>
      <c r="H54" s="40"/>
      <c r="J54" s="81"/>
      <c r="K54" s="81"/>
      <c r="L54" s="81"/>
      <c r="M54" s="81"/>
    </row>
    <row r="55" spans="1:13" s="16" customFormat="1" ht="15" x14ac:dyDescent="0.25">
      <c r="A55" s="44"/>
      <c r="B55" s="44"/>
      <c r="C55" s="44"/>
      <c r="D55" s="45"/>
      <c r="E55" s="45"/>
      <c r="F55" s="45"/>
      <c r="G55" s="45"/>
      <c r="H55" s="16" t="s">
        <v>102</v>
      </c>
      <c r="J55" s="81"/>
      <c r="K55" s="81"/>
      <c r="L55" s="81"/>
      <c r="M55" s="81"/>
    </row>
    <row r="56" spans="1:13" s="16" customFormat="1" ht="15" x14ac:dyDescent="0.25">
      <c r="A56" s="44"/>
      <c r="B56" s="44"/>
      <c r="C56" s="44"/>
      <c r="D56" s="45"/>
      <c r="E56" s="45"/>
      <c r="F56" s="45"/>
      <c r="G56" s="45"/>
      <c r="H56" s="16" t="s">
        <v>102</v>
      </c>
      <c r="J56" s="81"/>
      <c r="K56" s="81"/>
      <c r="L56" s="81"/>
      <c r="M56" s="81"/>
    </row>
    <row r="57" spans="1:13" s="16" customFormat="1" ht="15" x14ac:dyDescent="0.25">
      <c r="A57" s="44"/>
      <c r="B57" s="44"/>
      <c r="C57" s="44"/>
      <c r="D57" s="45"/>
      <c r="E57" s="45"/>
      <c r="F57" s="45"/>
      <c r="G57" s="45"/>
      <c r="H57" s="16" t="s">
        <v>102</v>
      </c>
      <c r="J57" s="81"/>
      <c r="K57" s="81"/>
      <c r="L57" s="81"/>
      <c r="M57" s="81"/>
    </row>
    <row r="58" spans="1:13" s="16" customFormat="1" ht="18" customHeight="1" x14ac:dyDescent="0.35">
      <c r="A58" s="35" t="s">
        <v>81</v>
      </c>
      <c r="B58" s="35" t="s">
        <v>82</v>
      </c>
      <c r="C58" s="35" t="s">
        <v>83</v>
      </c>
      <c r="D58" s="36" t="s">
        <v>84</v>
      </c>
      <c r="E58" s="36" t="s">
        <v>85</v>
      </c>
      <c r="F58" s="37" t="s">
        <v>86</v>
      </c>
      <c r="G58" s="37" t="s">
        <v>87</v>
      </c>
      <c r="J58" s="81"/>
      <c r="K58" s="81"/>
      <c r="L58" s="81"/>
      <c r="M58" s="81"/>
    </row>
    <row r="59" spans="1:13" s="16" customFormat="1" ht="15" x14ac:dyDescent="0.25">
      <c r="A59" s="114" t="s">
        <v>103</v>
      </c>
      <c r="B59" s="123" t="s">
        <v>104</v>
      </c>
      <c r="C59" s="36" t="s">
        <v>90</v>
      </c>
      <c r="D59" s="80">
        <v>3193.6948000000002</v>
      </c>
      <c r="E59" s="80">
        <v>3127.67</v>
      </c>
      <c r="F59" s="80">
        <v>39.524799999999999</v>
      </c>
      <c r="G59" s="80">
        <v>26.5</v>
      </c>
      <c r="H59" s="40"/>
      <c r="J59" s="81"/>
      <c r="K59" s="81"/>
      <c r="L59" s="81"/>
      <c r="M59" s="81"/>
    </row>
    <row r="60" spans="1:13" s="16" customFormat="1" ht="15" x14ac:dyDescent="0.25">
      <c r="A60" s="115"/>
      <c r="B60" s="124"/>
      <c r="C60" s="36" t="s">
        <v>91</v>
      </c>
      <c r="D60" s="80">
        <v>2.3311600000000001</v>
      </c>
      <c r="E60" s="80">
        <v>2.2829700000000002</v>
      </c>
      <c r="F60" s="80">
        <v>2.8850000000000001E-2</v>
      </c>
      <c r="G60" s="80">
        <v>1.934E-2</v>
      </c>
      <c r="H60" s="40"/>
      <c r="J60" s="81"/>
      <c r="K60" s="81"/>
      <c r="L60" s="81"/>
      <c r="M60" s="81"/>
    </row>
    <row r="61" spans="1:13" s="16" customFormat="1" ht="15" x14ac:dyDescent="0.25">
      <c r="A61" s="115"/>
      <c r="B61" s="124"/>
      <c r="C61" s="36" t="s">
        <v>92</v>
      </c>
      <c r="D61" s="80">
        <v>0.25666</v>
      </c>
      <c r="E61" s="80">
        <v>0.25135000000000002</v>
      </c>
      <c r="F61" s="80">
        <v>3.1800000000000001E-3</v>
      </c>
      <c r="G61" s="80">
        <v>2.1299999999999999E-3</v>
      </c>
      <c r="H61" s="40"/>
      <c r="J61" s="81"/>
      <c r="K61" s="81"/>
      <c r="L61" s="81"/>
      <c r="M61" s="81"/>
    </row>
    <row r="62" spans="1:13" s="16" customFormat="1" ht="15" x14ac:dyDescent="0.25">
      <c r="A62" s="115"/>
      <c r="B62" s="125"/>
      <c r="C62" s="36" t="s">
        <v>93</v>
      </c>
      <c r="D62" s="80">
        <v>0.24382000000000001</v>
      </c>
      <c r="E62" s="80">
        <v>0.23877999999999999</v>
      </c>
      <c r="F62" s="80">
        <v>3.0100000000000001E-3</v>
      </c>
      <c r="G62" s="80">
        <v>2.0300000000000001E-3</v>
      </c>
      <c r="H62" s="40"/>
      <c r="J62" s="81"/>
      <c r="K62" s="81"/>
      <c r="L62" s="81"/>
      <c r="M62" s="81"/>
    </row>
    <row r="63" spans="1:13" s="16" customFormat="1" ht="15" x14ac:dyDescent="0.25">
      <c r="A63" s="115"/>
      <c r="B63" s="123" t="s">
        <v>105</v>
      </c>
      <c r="C63" s="36" t="s">
        <v>90</v>
      </c>
      <c r="D63" s="80">
        <v>3178.3652000000002</v>
      </c>
      <c r="E63" s="80">
        <v>3149.67</v>
      </c>
      <c r="F63" s="80">
        <v>2.1951999999999998</v>
      </c>
      <c r="G63" s="80">
        <v>26.5</v>
      </c>
      <c r="H63" s="40"/>
      <c r="J63" s="81"/>
      <c r="K63" s="81"/>
      <c r="L63" s="81"/>
      <c r="M63" s="81"/>
    </row>
    <row r="64" spans="1:13" s="16" customFormat="1" ht="15" x14ac:dyDescent="0.25">
      <c r="A64" s="115"/>
      <c r="B64" s="124"/>
      <c r="C64" s="36" t="s">
        <v>91</v>
      </c>
      <c r="D64" s="80">
        <v>2.5426899999999999</v>
      </c>
      <c r="E64" s="80">
        <v>2.51973</v>
      </c>
      <c r="F64" s="80">
        <v>1.7600000000000001E-3</v>
      </c>
      <c r="G64" s="80">
        <v>2.12E-2</v>
      </c>
      <c r="H64" s="40"/>
      <c r="J64" s="81"/>
      <c r="K64" s="81"/>
      <c r="L64" s="81"/>
      <c r="M64" s="81"/>
    </row>
    <row r="65" spans="1:13" s="16" customFormat="1" ht="15" x14ac:dyDescent="0.25">
      <c r="A65" s="115"/>
      <c r="B65" s="124"/>
      <c r="C65" s="36" t="s">
        <v>92</v>
      </c>
      <c r="D65" s="80">
        <v>0.26061000000000001</v>
      </c>
      <c r="E65" s="80">
        <v>0.25825999999999999</v>
      </c>
      <c r="F65" s="80">
        <v>1.8000000000000001E-4</v>
      </c>
      <c r="G65" s="80">
        <v>2.1700000000000001E-3</v>
      </c>
      <c r="H65" s="40"/>
      <c r="J65" s="81"/>
      <c r="K65" s="81"/>
      <c r="L65" s="81"/>
      <c r="M65" s="81"/>
    </row>
    <row r="66" spans="1:13" s="16" customFormat="1" ht="15" x14ac:dyDescent="0.25">
      <c r="A66" s="115"/>
      <c r="B66" s="125"/>
      <c r="C66" s="36" t="s">
        <v>93</v>
      </c>
      <c r="D66" s="80">
        <v>0.24757999999999999</v>
      </c>
      <c r="E66" s="80">
        <v>0.24535000000000001</v>
      </c>
      <c r="F66" s="80">
        <v>1.7000000000000001E-4</v>
      </c>
      <c r="G66" s="80">
        <v>2.0600000000000002E-3</v>
      </c>
      <c r="H66" s="40"/>
      <c r="J66" s="81"/>
      <c r="K66" s="81"/>
      <c r="L66" s="81"/>
      <c r="M66" s="81"/>
    </row>
    <row r="67" spans="1:13" s="16" customFormat="1" ht="15" x14ac:dyDescent="0.25">
      <c r="A67" s="115"/>
      <c r="B67" s="111" t="s">
        <v>106</v>
      </c>
      <c r="C67" s="36" t="s">
        <v>90</v>
      </c>
      <c r="D67" s="80">
        <v>3165.0418100000002</v>
      </c>
      <c r="E67" s="80">
        <v>3149.67</v>
      </c>
      <c r="F67" s="80">
        <v>8.4</v>
      </c>
      <c r="G67" s="80">
        <v>6.9718099999999996</v>
      </c>
      <c r="H67" s="40"/>
      <c r="J67" s="81"/>
      <c r="K67" s="81"/>
      <c r="L67" s="81"/>
      <c r="M67" s="81"/>
    </row>
    <row r="68" spans="1:13" s="16" customFormat="1" ht="15" x14ac:dyDescent="0.25">
      <c r="A68" s="115"/>
      <c r="B68" s="112"/>
      <c r="C68" s="36" t="s">
        <v>91</v>
      </c>
      <c r="D68" s="80">
        <v>2.5401600000000002</v>
      </c>
      <c r="E68" s="80">
        <v>2.5278200000000002</v>
      </c>
      <c r="F68" s="80">
        <v>6.7400000000000003E-3</v>
      </c>
      <c r="G68" s="80">
        <v>5.5900000000000004E-3</v>
      </c>
      <c r="H68" s="40"/>
      <c r="J68" s="81"/>
      <c r="K68" s="81"/>
      <c r="L68" s="81"/>
      <c r="M68" s="81"/>
    </row>
    <row r="69" spans="1:13" s="16" customFormat="1" ht="15" x14ac:dyDescent="0.25">
      <c r="A69" s="115"/>
      <c r="B69" s="112"/>
      <c r="C69" s="36" t="s">
        <v>92</v>
      </c>
      <c r="D69" s="80">
        <v>0.25974999999999998</v>
      </c>
      <c r="E69" s="80">
        <v>0.25849</v>
      </c>
      <c r="F69" s="80">
        <v>6.8999999999999997E-4</v>
      </c>
      <c r="G69" s="80">
        <v>5.6999999999999998E-4</v>
      </c>
      <c r="H69" s="40"/>
      <c r="J69" s="81"/>
      <c r="K69" s="81"/>
      <c r="L69" s="81"/>
      <c r="M69" s="81"/>
    </row>
    <row r="70" spans="1:13" s="16" customFormat="1" ht="15" x14ac:dyDescent="0.25">
      <c r="A70" s="115"/>
      <c r="B70" s="113"/>
      <c r="C70" s="36" t="s">
        <v>93</v>
      </c>
      <c r="D70" s="80">
        <v>0.24676999999999999</v>
      </c>
      <c r="E70" s="80">
        <v>0.24557000000000001</v>
      </c>
      <c r="F70" s="80">
        <v>6.6E-4</v>
      </c>
      <c r="G70" s="80">
        <v>5.4000000000000001E-4</v>
      </c>
      <c r="H70" s="40"/>
      <c r="J70" s="81"/>
      <c r="K70" s="81"/>
      <c r="L70" s="81"/>
      <c r="M70" s="81"/>
    </row>
    <row r="71" spans="1:13" s="16" customFormat="1" ht="15" x14ac:dyDescent="0.25">
      <c r="A71" s="115"/>
      <c r="B71" s="111" t="s">
        <v>107</v>
      </c>
      <c r="C71" s="36" t="s">
        <v>90</v>
      </c>
      <c r="D71" s="80">
        <v>3087.9446200000002</v>
      </c>
      <c r="E71" s="80">
        <v>3048.71</v>
      </c>
      <c r="F71" s="80">
        <v>0.34720000000000001</v>
      </c>
      <c r="G71" s="80">
        <v>38.887419999999999</v>
      </c>
      <c r="H71" s="40"/>
      <c r="J71" s="81"/>
      <c r="K71" s="81"/>
      <c r="L71" s="81"/>
      <c r="M71" s="81"/>
    </row>
    <row r="72" spans="1:13" s="16" customFormat="1" ht="15" x14ac:dyDescent="0.25">
      <c r="A72" s="115"/>
      <c r="B72" s="112"/>
      <c r="C72" s="36" t="s">
        <v>91</v>
      </c>
      <c r="D72" s="80">
        <v>2.5708199999999999</v>
      </c>
      <c r="E72" s="80">
        <v>2.5376300000000001</v>
      </c>
      <c r="F72" s="80">
        <v>2.9E-4</v>
      </c>
      <c r="G72" s="80">
        <v>3.2899999999999999E-2</v>
      </c>
      <c r="H72" s="40"/>
      <c r="J72" s="81"/>
      <c r="K72" s="81"/>
      <c r="L72" s="81"/>
      <c r="M72" s="81"/>
    </row>
    <row r="73" spans="1:13" s="16" customFormat="1" ht="15" x14ac:dyDescent="0.25">
      <c r="A73" s="115"/>
      <c r="B73" s="112"/>
      <c r="C73" s="36" t="s">
        <v>92</v>
      </c>
      <c r="D73" s="80">
        <v>0.25952999999999998</v>
      </c>
      <c r="E73" s="80">
        <v>0.25619999999999998</v>
      </c>
      <c r="F73" s="80">
        <v>3.0000000000000001E-5</v>
      </c>
      <c r="G73" s="80">
        <v>3.3E-3</v>
      </c>
      <c r="H73" s="40"/>
      <c r="J73" s="81"/>
      <c r="K73" s="81"/>
      <c r="L73" s="81"/>
      <c r="M73" s="81"/>
    </row>
    <row r="74" spans="1:13" s="16" customFormat="1" ht="15" x14ac:dyDescent="0.25">
      <c r="A74" s="115"/>
      <c r="B74" s="113"/>
      <c r="C74" s="36" t="s">
        <v>93</v>
      </c>
      <c r="D74" s="80">
        <v>0.24410999999999999</v>
      </c>
      <c r="E74" s="80">
        <v>0.24098</v>
      </c>
      <c r="F74" s="80">
        <v>2.0000000000000002E-5</v>
      </c>
      <c r="G74" s="80">
        <v>3.0999999999999999E-3</v>
      </c>
      <c r="H74" s="40"/>
      <c r="J74" s="81"/>
      <c r="K74" s="81"/>
      <c r="L74" s="81"/>
      <c r="M74" s="81"/>
    </row>
    <row r="75" spans="1:13" s="16" customFormat="1" ht="15" x14ac:dyDescent="0.25">
      <c r="A75" s="115"/>
      <c r="B75" s="111" t="s">
        <v>108</v>
      </c>
      <c r="C75" s="36" t="s">
        <v>90</v>
      </c>
      <c r="D75" s="80">
        <v>3203.9114300000001</v>
      </c>
      <c r="E75" s="80">
        <v>3164.33</v>
      </c>
      <c r="F75" s="80">
        <v>0.34720000000000001</v>
      </c>
      <c r="G75" s="80">
        <v>39.234229999999997</v>
      </c>
      <c r="H75" s="40"/>
      <c r="J75" s="81"/>
      <c r="K75" s="81"/>
      <c r="L75" s="81"/>
      <c r="M75" s="81"/>
    </row>
    <row r="76" spans="1:13" s="16" customFormat="1" ht="15" x14ac:dyDescent="0.25">
      <c r="A76" s="115"/>
      <c r="B76" s="112"/>
      <c r="C76" s="36" t="s">
        <v>91</v>
      </c>
      <c r="D76" s="80">
        <v>2.6615500000000001</v>
      </c>
      <c r="E76" s="80">
        <v>2.62818</v>
      </c>
      <c r="F76" s="80">
        <v>2.9E-4</v>
      </c>
      <c r="G76" s="80">
        <v>3.3079999999999998E-2</v>
      </c>
      <c r="H76" s="40"/>
      <c r="J76" s="81"/>
      <c r="K76" s="81"/>
      <c r="L76" s="81"/>
      <c r="M76" s="81"/>
    </row>
    <row r="77" spans="1:13" s="16" customFormat="1" ht="15" x14ac:dyDescent="0.25">
      <c r="A77" s="115"/>
      <c r="B77" s="112"/>
      <c r="C77" s="36" t="s">
        <v>92</v>
      </c>
      <c r="D77" s="80">
        <v>0.26807999999999998</v>
      </c>
      <c r="E77" s="80">
        <v>0.26474999999999999</v>
      </c>
      <c r="F77" s="80">
        <v>3.0000000000000001E-5</v>
      </c>
      <c r="G77" s="80">
        <v>3.3E-3</v>
      </c>
      <c r="H77" s="40"/>
      <c r="J77" s="81"/>
      <c r="K77" s="81"/>
      <c r="L77" s="81"/>
      <c r="M77" s="81"/>
    </row>
    <row r="78" spans="1:13" s="16" customFormat="1" ht="15" x14ac:dyDescent="0.25">
      <c r="A78" s="115"/>
      <c r="B78" s="113"/>
      <c r="C78" s="36" t="s">
        <v>93</v>
      </c>
      <c r="D78" s="80">
        <v>0.25198999999999999</v>
      </c>
      <c r="E78" s="80">
        <v>0.24887000000000001</v>
      </c>
      <c r="F78" s="80">
        <v>2.0000000000000002E-5</v>
      </c>
      <c r="G78" s="80">
        <v>3.0899999999999999E-3</v>
      </c>
      <c r="H78" s="40"/>
      <c r="J78" s="81"/>
      <c r="K78" s="81"/>
      <c r="L78" s="81"/>
      <c r="M78" s="81"/>
    </row>
    <row r="79" spans="1:13" s="16" customFormat="1" ht="15" x14ac:dyDescent="0.25">
      <c r="A79" s="115"/>
      <c r="B79" s="111" t="s">
        <v>109</v>
      </c>
      <c r="C79" s="36" t="s">
        <v>90</v>
      </c>
      <c r="D79" s="80">
        <v>3228.8901900000001</v>
      </c>
      <c r="E79" s="80">
        <v>3216.38</v>
      </c>
      <c r="F79" s="80">
        <v>5.3872</v>
      </c>
      <c r="G79" s="80">
        <v>7.1229899999999997</v>
      </c>
      <c r="H79" s="40"/>
      <c r="J79" s="81"/>
      <c r="K79" s="81"/>
      <c r="L79" s="81"/>
      <c r="M79" s="81"/>
    </row>
    <row r="80" spans="1:13" s="16" customFormat="1" ht="15" x14ac:dyDescent="0.25">
      <c r="A80" s="115"/>
      <c r="B80" s="112"/>
      <c r="C80" s="36" t="s">
        <v>91</v>
      </c>
      <c r="D80" s="80">
        <v>3.1749200000000002</v>
      </c>
      <c r="E80" s="80">
        <v>3.16262</v>
      </c>
      <c r="F80" s="80">
        <v>5.3E-3</v>
      </c>
      <c r="G80" s="80">
        <v>7.0099999999999997E-3</v>
      </c>
      <c r="H80" s="40"/>
      <c r="J80" s="81"/>
      <c r="K80" s="81"/>
      <c r="L80" s="81"/>
      <c r="M80" s="81"/>
    </row>
    <row r="81" spans="1:13" s="16" customFormat="1" ht="15" x14ac:dyDescent="0.25">
      <c r="A81" s="115"/>
      <c r="B81" s="112"/>
      <c r="C81" s="36" t="s">
        <v>92</v>
      </c>
      <c r="D81" s="80">
        <v>0.28522999999999998</v>
      </c>
      <c r="E81" s="80">
        <v>0.28412999999999999</v>
      </c>
      <c r="F81" s="80">
        <v>4.6999999999999999E-4</v>
      </c>
      <c r="G81" s="80">
        <v>6.3000000000000003E-4</v>
      </c>
      <c r="H81" s="40"/>
      <c r="J81" s="81"/>
      <c r="K81" s="81"/>
      <c r="L81" s="81"/>
      <c r="M81" s="81"/>
    </row>
    <row r="82" spans="1:13" s="16" customFormat="1" ht="15" x14ac:dyDescent="0.25">
      <c r="A82" s="115"/>
      <c r="B82" s="113"/>
      <c r="C82" s="36" t="s">
        <v>93</v>
      </c>
      <c r="D82" s="80">
        <v>0.26812999999999998</v>
      </c>
      <c r="E82" s="80">
        <v>0.26708999999999999</v>
      </c>
      <c r="F82" s="80">
        <v>4.4999999999999999E-4</v>
      </c>
      <c r="G82" s="80">
        <v>5.9999999999999995E-4</v>
      </c>
      <c r="H82" s="40"/>
      <c r="J82" s="81"/>
      <c r="K82" s="81"/>
      <c r="L82" s="81"/>
      <c r="M82" s="81"/>
    </row>
    <row r="83" spans="1:13" s="16" customFormat="1" ht="15" x14ac:dyDescent="0.25">
      <c r="A83" s="115"/>
      <c r="B83" s="111" t="s">
        <v>110</v>
      </c>
      <c r="C83" s="36" t="s">
        <v>90</v>
      </c>
      <c r="D83" s="80">
        <v>3226.5785900000001</v>
      </c>
      <c r="E83" s="80">
        <v>3190</v>
      </c>
      <c r="F83" s="80">
        <v>3.6848000000000001</v>
      </c>
      <c r="G83" s="80">
        <v>32.893790000000003</v>
      </c>
      <c r="H83" s="40"/>
      <c r="J83" s="81"/>
      <c r="K83" s="81"/>
      <c r="L83" s="81"/>
      <c r="M83" s="81"/>
    </row>
    <row r="84" spans="1:13" s="16" customFormat="1" ht="15" x14ac:dyDescent="0.25">
      <c r="A84" s="115"/>
      <c r="B84" s="112"/>
      <c r="C84" s="36" t="s">
        <v>91</v>
      </c>
      <c r="D84" s="80">
        <v>2.7554099999999999</v>
      </c>
      <c r="E84" s="80">
        <v>2.72417</v>
      </c>
      <c r="F84" s="80">
        <v>3.15E-3</v>
      </c>
      <c r="G84" s="80">
        <v>2.809E-2</v>
      </c>
      <c r="H84" s="40"/>
      <c r="J84" s="81"/>
      <c r="K84" s="81"/>
      <c r="L84" s="81"/>
      <c r="M84" s="81"/>
    </row>
    <row r="85" spans="1:13" s="16" customFormat="1" ht="15" x14ac:dyDescent="0.25">
      <c r="A85" s="115"/>
      <c r="B85" s="112"/>
      <c r="C85" s="36" t="s">
        <v>92</v>
      </c>
      <c r="D85" s="80">
        <v>0.27288000000000001</v>
      </c>
      <c r="E85" s="80">
        <v>0.26978000000000002</v>
      </c>
      <c r="F85" s="80">
        <v>3.1E-4</v>
      </c>
      <c r="G85" s="80">
        <v>2.7799999999999999E-3</v>
      </c>
      <c r="H85" s="40"/>
      <c r="J85" s="81"/>
      <c r="K85" s="81"/>
      <c r="L85" s="81"/>
      <c r="M85" s="81"/>
    </row>
    <row r="86" spans="1:13" s="16" customFormat="1" ht="15" x14ac:dyDescent="0.25">
      <c r="A86" s="115"/>
      <c r="B86" s="113"/>
      <c r="C86" s="36" t="s">
        <v>93</v>
      </c>
      <c r="D86" s="80">
        <v>0.25650000000000001</v>
      </c>
      <c r="E86" s="80">
        <v>0.25358999999999998</v>
      </c>
      <c r="F86" s="80">
        <v>2.9E-4</v>
      </c>
      <c r="G86" s="80">
        <v>2.6099999999999999E-3</v>
      </c>
      <c r="H86" s="40"/>
      <c r="J86" s="81"/>
      <c r="K86" s="81"/>
      <c r="L86" s="81"/>
      <c r="M86" s="81"/>
    </row>
    <row r="87" spans="1:13" s="16" customFormat="1" ht="15" x14ac:dyDescent="0.25">
      <c r="A87" s="115"/>
      <c r="B87" s="120" t="s">
        <v>111</v>
      </c>
      <c r="C87" s="36" t="s">
        <v>90</v>
      </c>
      <c r="D87" s="80">
        <v>3180.9999200000002</v>
      </c>
      <c r="E87" s="80">
        <v>3171.09</v>
      </c>
      <c r="F87" s="80">
        <v>3.4272</v>
      </c>
      <c r="G87" s="80">
        <v>6.4827199999999996</v>
      </c>
      <c r="H87" s="40"/>
      <c r="J87" s="81"/>
      <c r="K87" s="81"/>
      <c r="L87" s="81"/>
      <c r="M87" s="81"/>
    </row>
    <row r="88" spans="1:13" s="16" customFormat="1" ht="15" x14ac:dyDescent="0.25">
      <c r="A88" s="115"/>
      <c r="B88" s="121" t="s">
        <v>111</v>
      </c>
      <c r="C88" s="36" t="s">
        <v>91</v>
      </c>
      <c r="D88" s="80">
        <v>2.7493400000000001</v>
      </c>
      <c r="E88" s="80">
        <v>2.74078</v>
      </c>
      <c r="F88" s="80">
        <v>2.96E-3</v>
      </c>
      <c r="G88" s="80">
        <v>5.5999999999999999E-3</v>
      </c>
      <c r="H88" s="40"/>
      <c r="J88" s="81"/>
      <c r="K88" s="81"/>
      <c r="L88" s="81"/>
      <c r="M88" s="81"/>
    </row>
    <row r="89" spans="1:13" s="16" customFormat="1" ht="15" x14ac:dyDescent="0.25">
      <c r="A89" s="115"/>
      <c r="B89" s="121" t="s">
        <v>111</v>
      </c>
      <c r="C89" s="36" t="s">
        <v>92</v>
      </c>
      <c r="D89" s="80">
        <v>0.28100000000000003</v>
      </c>
      <c r="E89" s="80">
        <v>0.28012999999999999</v>
      </c>
      <c r="F89" s="80">
        <v>2.9999999999999997E-4</v>
      </c>
      <c r="G89" s="80">
        <v>5.6999999999999998E-4</v>
      </c>
      <c r="H89" s="40"/>
      <c r="J89" s="81"/>
      <c r="K89" s="81"/>
      <c r="L89" s="81"/>
      <c r="M89" s="81"/>
    </row>
    <row r="90" spans="1:13" s="16" customFormat="1" ht="15" x14ac:dyDescent="0.25">
      <c r="A90" s="115"/>
      <c r="B90" s="122" t="s">
        <v>111</v>
      </c>
      <c r="C90" s="36" t="s">
        <v>93</v>
      </c>
      <c r="D90" s="80">
        <v>0.26413999999999999</v>
      </c>
      <c r="E90" s="80">
        <v>0.26332</v>
      </c>
      <c r="F90" s="80">
        <v>2.7999999999999998E-4</v>
      </c>
      <c r="G90" s="80">
        <v>5.4000000000000001E-4</v>
      </c>
      <c r="H90" s="40"/>
      <c r="J90" s="81"/>
      <c r="K90" s="81"/>
      <c r="L90" s="81"/>
      <c r="M90" s="81"/>
    </row>
    <row r="91" spans="1:13" s="16" customFormat="1" ht="15" x14ac:dyDescent="0.25">
      <c r="A91" s="115"/>
      <c r="B91" s="120" t="s">
        <v>112</v>
      </c>
      <c r="C91" s="36" t="s">
        <v>90</v>
      </c>
      <c r="D91" s="80">
        <v>3142.3789000000002</v>
      </c>
      <c r="E91" s="80">
        <v>3131.33</v>
      </c>
      <c r="F91" s="80">
        <v>3.8191999999999999</v>
      </c>
      <c r="G91" s="80">
        <v>7.2297000000000002</v>
      </c>
      <c r="H91" s="40"/>
      <c r="J91" s="81"/>
      <c r="K91" s="81"/>
      <c r="L91" s="81"/>
      <c r="M91" s="81"/>
    </row>
    <row r="92" spans="1:13" s="16" customFormat="1" ht="15" x14ac:dyDescent="0.25">
      <c r="A92" s="115"/>
      <c r="B92" s="121" t="s">
        <v>112</v>
      </c>
      <c r="C92" s="36" t="s">
        <v>91</v>
      </c>
      <c r="D92" s="80">
        <v>2.1189399999999998</v>
      </c>
      <c r="E92" s="80">
        <v>2.1114899999999999</v>
      </c>
      <c r="F92" s="80">
        <v>2.5799999999999998E-3</v>
      </c>
      <c r="G92" s="80">
        <v>4.8700000000000002E-3</v>
      </c>
      <c r="H92" s="40"/>
      <c r="J92" s="81"/>
      <c r="K92" s="81"/>
      <c r="L92" s="81"/>
      <c r="M92" s="81"/>
    </row>
    <row r="93" spans="1:13" s="16" customFormat="1" ht="15" x14ac:dyDescent="0.25">
      <c r="A93" s="115"/>
      <c r="B93" s="121" t="s">
        <v>112</v>
      </c>
      <c r="C93" s="36" t="s">
        <v>92</v>
      </c>
      <c r="D93" s="80">
        <v>0.24890999999999999</v>
      </c>
      <c r="E93" s="80">
        <v>0.24804000000000001</v>
      </c>
      <c r="F93" s="80">
        <v>2.9999999999999997E-4</v>
      </c>
      <c r="G93" s="80">
        <v>5.6999999999999998E-4</v>
      </c>
      <c r="H93" s="40"/>
      <c r="J93" s="81"/>
      <c r="K93" s="81"/>
      <c r="L93" s="81"/>
      <c r="M93" s="81"/>
    </row>
    <row r="94" spans="1:13" s="16" customFormat="1" ht="15" x14ac:dyDescent="0.25">
      <c r="A94" s="115"/>
      <c r="B94" s="122" t="s">
        <v>112</v>
      </c>
      <c r="C94" s="47" t="s">
        <v>93</v>
      </c>
      <c r="D94" s="80">
        <v>0.23647000000000001</v>
      </c>
      <c r="E94" s="83">
        <v>0.23563999999999999</v>
      </c>
      <c r="F94" s="83">
        <v>2.9E-4</v>
      </c>
      <c r="G94" s="83">
        <v>5.4000000000000001E-4</v>
      </c>
      <c r="H94" s="40"/>
      <c r="J94" s="81"/>
      <c r="K94" s="81"/>
      <c r="L94" s="81"/>
      <c r="M94" s="81"/>
    </row>
    <row r="95" spans="1:13" s="16" customFormat="1" ht="15" x14ac:dyDescent="0.25">
      <c r="A95" s="115"/>
      <c r="B95" s="120" t="s">
        <v>113</v>
      </c>
      <c r="C95" s="49" t="s">
        <v>90</v>
      </c>
      <c r="D95" s="80">
        <v>2772.9793500000001</v>
      </c>
      <c r="E95" s="84">
        <v>2754.25</v>
      </c>
      <c r="F95" s="84">
        <v>10.8416</v>
      </c>
      <c r="G95" s="85">
        <v>7.8877499999999996</v>
      </c>
      <c r="H95" s="40"/>
      <c r="J95" s="81"/>
      <c r="K95" s="81"/>
      <c r="L95" s="81"/>
      <c r="M95" s="81"/>
    </row>
    <row r="96" spans="1:13" s="16" customFormat="1" ht="15" x14ac:dyDescent="0.25">
      <c r="A96" s="115"/>
      <c r="B96" s="121"/>
      <c r="C96" s="52" t="s">
        <v>91</v>
      </c>
      <c r="D96" s="80">
        <v>2.0691600000000001</v>
      </c>
      <c r="E96" s="80">
        <v>2.0552299999999999</v>
      </c>
      <c r="F96" s="80">
        <v>8.0599999999999995E-3</v>
      </c>
      <c r="G96" s="86">
        <v>5.8700000000000002E-3</v>
      </c>
      <c r="H96" s="40"/>
      <c r="J96" s="81"/>
      <c r="K96" s="81"/>
      <c r="L96" s="81"/>
      <c r="M96" s="81"/>
    </row>
    <row r="97" spans="1:13" s="16" customFormat="1" ht="15" x14ac:dyDescent="0.25">
      <c r="A97" s="115"/>
      <c r="B97" s="121"/>
      <c r="C97" s="52" t="s">
        <v>92</v>
      </c>
      <c r="D97" s="80">
        <v>0.23180999999999999</v>
      </c>
      <c r="E97" s="80">
        <v>0.23025999999999999</v>
      </c>
      <c r="F97" s="80">
        <v>8.9999999999999998E-4</v>
      </c>
      <c r="G97" s="86">
        <v>6.4999999999999997E-4</v>
      </c>
      <c r="H97" s="40"/>
      <c r="J97" s="81"/>
      <c r="K97" s="81"/>
      <c r="L97" s="81"/>
      <c r="M97" s="81"/>
    </row>
    <row r="98" spans="1:13" s="16" customFormat="1" ht="15" x14ac:dyDescent="0.25">
      <c r="A98" s="115"/>
      <c r="B98" s="122"/>
      <c r="C98" s="54" t="s">
        <v>93</v>
      </c>
      <c r="D98" s="80">
        <v>0.21956000000000001</v>
      </c>
      <c r="E98" s="87">
        <v>0.21811</v>
      </c>
      <c r="F98" s="87">
        <v>8.4000000000000003E-4</v>
      </c>
      <c r="G98" s="88">
        <v>6.0999999999999997E-4</v>
      </c>
      <c r="H98" s="40"/>
      <c r="J98" s="81"/>
      <c r="K98" s="81"/>
      <c r="L98" s="81"/>
      <c r="M98" s="81"/>
    </row>
    <row r="99" spans="1:13" s="16" customFormat="1" ht="15" x14ac:dyDescent="0.25">
      <c r="A99" s="115"/>
      <c r="B99" s="111" t="s">
        <v>114</v>
      </c>
      <c r="C99" s="57" t="s">
        <v>90</v>
      </c>
      <c r="D99" s="80">
        <v>3154.0821299999998</v>
      </c>
      <c r="E99" s="84">
        <v>3135</v>
      </c>
      <c r="F99" s="89">
        <v>11.043200000000001</v>
      </c>
      <c r="G99" s="89">
        <v>8.0389300000000006</v>
      </c>
      <c r="H99" s="40"/>
      <c r="J99" s="81"/>
      <c r="K99" s="81"/>
      <c r="L99" s="81"/>
      <c r="M99" s="81"/>
    </row>
    <row r="100" spans="1:13" s="16" customFormat="1" ht="15" x14ac:dyDescent="0.25">
      <c r="A100" s="115"/>
      <c r="B100" s="112"/>
      <c r="C100" s="36" t="s">
        <v>91</v>
      </c>
      <c r="D100" s="80">
        <v>2.3398400000000001</v>
      </c>
      <c r="E100" s="80">
        <v>2.3256700000000001</v>
      </c>
      <c r="F100" s="80">
        <v>8.2000000000000007E-3</v>
      </c>
      <c r="G100" s="80">
        <v>5.9699999999999996E-3</v>
      </c>
      <c r="H100" s="40"/>
      <c r="J100" s="81"/>
      <c r="K100" s="81"/>
      <c r="L100" s="81"/>
      <c r="M100" s="81"/>
    </row>
    <row r="101" spans="1:13" s="16" customFormat="1" ht="15" x14ac:dyDescent="0.25">
      <c r="A101" s="115"/>
      <c r="B101" s="112"/>
      <c r="C101" s="36" t="s">
        <v>92</v>
      </c>
      <c r="D101" s="80">
        <v>0.25430999999999998</v>
      </c>
      <c r="E101" s="80">
        <v>0.25275999999999998</v>
      </c>
      <c r="F101" s="80">
        <v>8.9999999999999998E-4</v>
      </c>
      <c r="G101" s="80">
        <v>6.4999999999999997E-4</v>
      </c>
      <c r="H101" s="40"/>
      <c r="J101" s="81"/>
      <c r="K101" s="81"/>
      <c r="L101" s="81"/>
      <c r="M101" s="81"/>
    </row>
    <row r="102" spans="1:13" s="16" customFormat="1" ht="15" x14ac:dyDescent="0.25">
      <c r="A102" s="115"/>
      <c r="B102" s="113"/>
      <c r="C102" s="36" t="s">
        <v>93</v>
      </c>
      <c r="D102" s="80">
        <v>0.24159</v>
      </c>
      <c r="E102" s="80">
        <v>0.24013000000000001</v>
      </c>
      <c r="F102" s="80">
        <v>8.4999999999999995E-4</v>
      </c>
      <c r="G102" s="80">
        <v>6.0999999999999997E-4</v>
      </c>
      <c r="H102" s="40"/>
      <c r="J102" s="81"/>
      <c r="K102" s="81"/>
      <c r="L102" s="81"/>
      <c r="M102" s="81"/>
    </row>
    <row r="103" spans="1:13" s="16" customFormat="1" ht="15" x14ac:dyDescent="0.25">
      <c r="A103" s="115"/>
      <c r="B103" s="111" t="s">
        <v>115</v>
      </c>
      <c r="C103" s="36" t="s">
        <v>90</v>
      </c>
      <c r="D103" s="80">
        <v>3228.8901900000001</v>
      </c>
      <c r="E103" s="80">
        <v>3216.38</v>
      </c>
      <c r="F103" s="80">
        <v>5.3872</v>
      </c>
      <c r="G103" s="80">
        <v>7.1229899999999997</v>
      </c>
      <c r="H103" s="40"/>
      <c r="J103" s="81"/>
      <c r="K103" s="81"/>
      <c r="L103" s="81"/>
      <c r="M103" s="81"/>
    </row>
    <row r="104" spans="1:13" s="16" customFormat="1" ht="15" x14ac:dyDescent="0.25">
      <c r="A104" s="115"/>
      <c r="B104" s="112"/>
      <c r="C104" s="36" t="s">
        <v>91</v>
      </c>
      <c r="D104" s="80">
        <v>3.1749200000000002</v>
      </c>
      <c r="E104" s="80">
        <v>3.16262</v>
      </c>
      <c r="F104" s="80">
        <v>5.3E-3</v>
      </c>
      <c r="G104" s="80">
        <v>7.0099999999999997E-3</v>
      </c>
      <c r="H104" s="40"/>
      <c r="J104" s="81"/>
      <c r="K104" s="81"/>
      <c r="L104" s="81"/>
      <c r="M104" s="81"/>
    </row>
    <row r="105" spans="1:13" s="16" customFormat="1" ht="15" x14ac:dyDescent="0.25">
      <c r="A105" s="115"/>
      <c r="B105" s="112"/>
      <c r="C105" s="36" t="s">
        <v>92</v>
      </c>
      <c r="D105" s="80">
        <v>0.28522999999999998</v>
      </c>
      <c r="E105" s="80">
        <v>0.28412999999999999</v>
      </c>
      <c r="F105" s="80">
        <v>4.6999999999999999E-4</v>
      </c>
      <c r="G105" s="80">
        <v>6.3000000000000003E-4</v>
      </c>
      <c r="H105" s="40"/>
      <c r="J105" s="81"/>
      <c r="K105" s="81"/>
      <c r="L105" s="81"/>
      <c r="M105" s="81"/>
    </row>
    <row r="106" spans="1:13" s="16" customFormat="1" ht="15" x14ac:dyDescent="0.25">
      <c r="A106" s="115"/>
      <c r="B106" s="113"/>
      <c r="C106" s="36" t="s">
        <v>93</v>
      </c>
      <c r="D106" s="80">
        <v>0.26812999999999998</v>
      </c>
      <c r="E106" s="80">
        <v>0.26708999999999999</v>
      </c>
      <c r="F106" s="80">
        <v>4.4999999999999999E-4</v>
      </c>
      <c r="G106" s="80">
        <v>5.9999999999999995E-4</v>
      </c>
      <c r="H106" s="40"/>
      <c r="J106" s="81"/>
      <c r="K106" s="81"/>
      <c r="L106" s="81"/>
      <c r="M106" s="81"/>
    </row>
    <row r="107" spans="1:13" s="16" customFormat="1" ht="15" x14ac:dyDescent="0.25">
      <c r="A107" s="115"/>
      <c r="B107" s="111" t="s">
        <v>116</v>
      </c>
      <c r="C107" s="36" t="s">
        <v>90</v>
      </c>
      <c r="D107" s="80">
        <v>3226.5785900000001</v>
      </c>
      <c r="E107" s="80">
        <v>3190</v>
      </c>
      <c r="F107" s="80">
        <v>3.6848000000000001</v>
      </c>
      <c r="G107" s="80">
        <v>32.893790000000003</v>
      </c>
      <c r="H107" s="40"/>
      <c r="J107" s="81"/>
      <c r="K107" s="81"/>
      <c r="L107" s="81"/>
      <c r="M107" s="81"/>
    </row>
    <row r="108" spans="1:13" s="44" customFormat="1" ht="15" x14ac:dyDescent="0.25">
      <c r="A108" s="115"/>
      <c r="B108" s="112"/>
      <c r="C108" s="36" t="s">
        <v>91</v>
      </c>
      <c r="D108" s="80">
        <v>2.7554099999999999</v>
      </c>
      <c r="E108" s="80">
        <v>2.72417</v>
      </c>
      <c r="F108" s="80">
        <v>3.15E-3</v>
      </c>
      <c r="G108" s="80">
        <v>2.809E-2</v>
      </c>
      <c r="H108" s="40"/>
      <c r="I108" s="16"/>
      <c r="J108" s="81"/>
      <c r="K108" s="81"/>
      <c r="L108" s="81"/>
      <c r="M108" s="81"/>
    </row>
    <row r="109" spans="1:13" s="44" customFormat="1" ht="15" x14ac:dyDescent="0.25">
      <c r="A109" s="115"/>
      <c r="B109" s="112"/>
      <c r="C109" s="36" t="s">
        <v>92</v>
      </c>
      <c r="D109" s="80">
        <v>0.27288000000000001</v>
      </c>
      <c r="E109" s="80">
        <v>0.26978000000000002</v>
      </c>
      <c r="F109" s="80">
        <v>3.1E-4</v>
      </c>
      <c r="G109" s="80">
        <v>2.7799999999999999E-3</v>
      </c>
      <c r="H109" s="40"/>
      <c r="I109" s="16"/>
      <c r="J109" s="81"/>
      <c r="K109" s="81"/>
      <c r="L109" s="81"/>
      <c r="M109" s="81"/>
    </row>
    <row r="110" spans="1:13" s="44" customFormat="1" ht="15" x14ac:dyDescent="0.25">
      <c r="A110" s="115"/>
      <c r="B110" s="113"/>
      <c r="C110" s="36" t="s">
        <v>93</v>
      </c>
      <c r="D110" s="80">
        <v>0.25650000000000001</v>
      </c>
      <c r="E110" s="80">
        <v>0.25358999999999998</v>
      </c>
      <c r="F110" s="80">
        <v>2.9E-4</v>
      </c>
      <c r="G110" s="80">
        <v>2.6099999999999999E-3</v>
      </c>
      <c r="H110" s="40"/>
      <c r="I110" s="16"/>
      <c r="J110" s="81"/>
      <c r="K110" s="81"/>
      <c r="L110" s="81"/>
      <c r="M110" s="81"/>
    </row>
    <row r="111" spans="1:13" s="16" customFormat="1" ht="15" x14ac:dyDescent="0.25">
      <c r="A111" s="115"/>
      <c r="B111" s="111" t="s">
        <v>117</v>
      </c>
      <c r="C111" s="36" t="s">
        <v>90</v>
      </c>
      <c r="D111" s="80">
        <v>2944.3209299999999</v>
      </c>
      <c r="E111" s="80">
        <v>2933.33</v>
      </c>
      <c r="F111" s="80">
        <v>3.7968000000000002</v>
      </c>
      <c r="G111" s="80">
        <v>7.1941300000000004</v>
      </c>
      <c r="H111" s="40"/>
      <c r="J111" s="81"/>
      <c r="K111" s="81"/>
      <c r="L111" s="81"/>
      <c r="M111" s="81"/>
    </row>
    <row r="112" spans="1:13" s="16" customFormat="1" ht="15" x14ac:dyDescent="0.25">
      <c r="A112" s="115"/>
      <c r="B112" s="112"/>
      <c r="C112" s="36" t="s">
        <v>91</v>
      </c>
      <c r="D112" s="90"/>
      <c r="E112" s="90"/>
      <c r="F112" s="90"/>
      <c r="G112" s="90"/>
      <c r="H112" s="40"/>
      <c r="J112" s="81"/>
      <c r="K112" s="81"/>
      <c r="L112" s="81"/>
      <c r="M112" s="81"/>
    </row>
    <row r="113" spans="1:13" s="16" customFormat="1" ht="15" x14ac:dyDescent="0.25">
      <c r="A113" s="115"/>
      <c r="B113" s="112"/>
      <c r="C113" s="36" t="s">
        <v>92</v>
      </c>
      <c r="D113" s="80">
        <v>0.25961000000000001</v>
      </c>
      <c r="E113" s="80">
        <v>0.25863999999999998</v>
      </c>
      <c r="F113" s="80">
        <v>3.4000000000000002E-4</v>
      </c>
      <c r="G113" s="80">
        <v>6.3000000000000003E-4</v>
      </c>
      <c r="H113" s="40"/>
      <c r="J113" s="81"/>
      <c r="K113" s="81"/>
      <c r="L113" s="81"/>
      <c r="M113" s="81"/>
    </row>
    <row r="114" spans="1:13" s="16" customFormat="1" ht="15" x14ac:dyDescent="0.25">
      <c r="A114" s="115"/>
      <c r="B114" s="113"/>
      <c r="C114" s="36" t="s">
        <v>93</v>
      </c>
      <c r="D114" s="80">
        <v>0.24662999999999999</v>
      </c>
      <c r="E114" s="80">
        <v>0.24571000000000001</v>
      </c>
      <c r="F114" s="80">
        <v>3.1E-4</v>
      </c>
      <c r="G114" s="80">
        <v>5.9999999999999995E-4</v>
      </c>
      <c r="H114" s="40"/>
      <c r="J114" s="81"/>
      <c r="K114" s="81"/>
      <c r="L114" s="81"/>
      <c r="M114" s="81"/>
    </row>
    <row r="115" spans="1:13" s="16" customFormat="1" ht="15" x14ac:dyDescent="0.25">
      <c r="A115" s="115"/>
      <c r="B115" s="111" t="s">
        <v>118</v>
      </c>
      <c r="C115" s="36" t="s">
        <v>90</v>
      </c>
      <c r="D115" s="80">
        <v>3219.37916</v>
      </c>
      <c r="E115" s="80">
        <v>3171.09</v>
      </c>
      <c r="F115" s="80">
        <v>3.5503999999999998</v>
      </c>
      <c r="G115" s="80">
        <v>44.738759999999999</v>
      </c>
      <c r="H115" s="40"/>
      <c r="J115" s="91"/>
      <c r="K115" s="91"/>
      <c r="L115" s="91"/>
      <c r="M115" s="91"/>
    </row>
    <row r="116" spans="1:13" ht="15" x14ac:dyDescent="0.25">
      <c r="A116" s="115"/>
      <c r="B116" s="112" t="s">
        <v>118</v>
      </c>
      <c r="C116" s="36" t="s">
        <v>91</v>
      </c>
      <c r="D116" s="80">
        <v>2.7492399999999999</v>
      </c>
      <c r="E116" s="80">
        <v>2.7080099999999998</v>
      </c>
      <c r="F116" s="80">
        <v>3.0200000000000001E-3</v>
      </c>
      <c r="G116" s="80">
        <v>3.8199999999999998E-2</v>
      </c>
      <c r="H116" s="40"/>
      <c r="J116" s="91"/>
      <c r="K116" s="91"/>
      <c r="L116" s="91"/>
      <c r="M116" s="91"/>
    </row>
    <row r="117" spans="1:13" ht="15" x14ac:dyDescent="0.25">
      <c r="A117" s="115"/>
      <c r="B117" s="112" t="s">
        <v>118</v>
      </c>
      <c r="C117" s="36" t="s">
        <v>92</v>
      </c>
      <c r="D117" s="80">
        <v>0.27459</v>
      </c>
      <c r="E117" s="80">
        <v>0.27046999999999999</v>
      </c>
      <c r="F117" s="80">
        <v>2.9999999999999997E-4</v>
      </c>
      <c r="G117" s="80">
        <v>3.81E-3</v>
      </c>
      <c r="H117" s="40"/>
      <c r="J117" s="91"/>
      <c r="K117" s="91"/>
      <c r="L117" s="91"/>
      <c r="M117" s="91"/>
    </row>
    <row r="118" spans="1:13" ht="15" x14ac:dyDescent="0.25">
      <c r="A118" s="115"/>
      <c r="B118" s="113" t="s">
        <v>118</v>
      </c>
      <c r="C118" s="36" t="s">
        <v>93</v>
      </c>
      <c r="D118" s="80">
        <v>0.25641000000000003</v>
      </c>
      <c r="E118" s="80">
        <v>0.25256000000000001</v>
      </c>
      <c r="F118" s="80">
        <v>2.7999999999999998E-4</v>
      </c>
      <c r="G118" s="80">
        <v>3.5699999999999998E-3</v>
      </c>
      <c r="H118" s="40"/>
      <c r="J118" s="91"/>
      <c r="K118" s="91"/>
      <c r="L118" s="91"/>
      <c r="M118" s="91"/>
    </row>
    <row r="119" spans="1:13" ht="15" x14ac:dyDescent="0.25">
      <c r="A119" s="115"/>
      <c r="B119" s="111" t="s">
        <v>119</v>
      </c>
      <c r="C119" s="36" t="s">
        <v>90</v>
      </c>
      <c r="D119" s="80">
        <v>3245.3044100000002</v>
      </c>
      <c r="E119" s="80">
        <v>3205.99</v>
      </c>
      <c r="F119" s="80">
        <v>0.90720000000000001</v>
      </c>
      <c r="G119" s="80">
        <v>38.407209999999999</v>
      </c>
      <c r="H119" s="40"/>
      <c r="J119" s="81"/>
      <c r="K119" s="81"/>
      <c r="L119" s="81"/>
      <c r="M119" s="81"/>
    </row>
    <row r="120" spans="1:13" ht="15" x14ac:dyDescent="0.25">
      <c r="A120" s="115"/>
      <c r="B120" s="112"/>
      <c r="C120" s="36" t="s">
        <v>91</v>
      </c>
      <c r="D120" s="80">
        <v>2.7713899999999998</v>
      </c>
      <c r="E120" s="80">
        <v>2.7378200000000001</v>
      </c>
      <c r="F120" s="80">
        <v>7.6999999999999996E-4</v>
      </c>
      <c r="G120" s="80">
        <v>3.2800000000000003E-2</v>
      </c>
      <c r="H120" s="40"/>
      <c r="J120" s="81"/>
      <c r="K120" s="81"/>
      <c r="L120" s="81"/>
      <c r="M120" s="81"/>
    </row>
    <row r="121" spans="1:13" ht="15" x14ac:dyDescent="0.25">
      <c r="A121" s="115"/>
      <c r="B121" s="112"/>
      <c r="C121" s="36" t="s">
        <v>92</v>
      </c>
      <c r="D121" s="80">
        <v>0.27445000000000003</v>
      </c>
      <c r="E121" s="80">
        <v>0.27112999999999998</v>
      </c>
      <c r="F121" s="80">
        <v>8.0000000000000007E-5</v>
      </c>
      <c r="G121" s="80">
        <v>3.2499999999999999E-3</v>
      </c>
      <c r="H121" s="40"/>
      <c r="J121" s="81"/>
      <c r="K121" s="81"/>
      <c r="L121" s="81"/>
      <c r="M121" s="81"/>
    </row>
    <row r="122" spans="1:13" ht="15" x14ac:dyDescent="0.25">
      <c r="A122" s="115"/>
      <c r="B122" s="113"/>
      <c r="C122" s="36" t="s">
        <v>93</v>
      </c>
      <c r="D122" s="80">
        <v>0.25797999999999999</v>
      </c>
      <c r="E122" s="80">
        <v>0.25485999999999998</v>
      </c>
      <c r="F122" s="80">
        <v>6.9999999999999994E-5</v>
      </c>
      <c r="G122" s="80">
        <v>3.0500000000000002E-3</v>
      </c>
      <c r="H122" s="40"/>
      <c r="J122" s="81"/>
      <c r="K122" s="81"/>
      <c r="L122" s="81"/>
      <c r="M122" s="81"/>
    </row>
    <row r="123" spans="1:13" ht="15" x14ac:dyDescent="0.25">
      <c r="A123" s="115"/>
      <c r="B123" s="111" t="s">
        <v>120</v>
      </c>
      <c r="C123" s="36" t="s">
        <v>90</v>
      </c>
      <c r="D123" s="80">
        <v>3154.7533400000002</v>
      </c>
      <c r="E123" s="80">
        <v>3113.99</v>
      </c>
      <c r="F123" s="80">
        <v>1.4224000000000001</v>
      </c>
      <c r="G123" s="80">
        <v>39.340940000000003</v>
      </c>
      <c r="H123" s="40"/>
      <c r="J123" s="81"/>
      <c r="K123" s="81"/>
      <c r="L123" s="81"/>
      <c r="M123" s="81"/>
    </row>
    <row r="124" spans="1:13" ht="15" x14ac:dyDescent="0.25">
      <c r="A124" s="115"/>
      <c r="B124" s="112"/>
      <c r="C124" s="36" t="s">
        <v>91</v>
      </c>
      <c r="D124" s="80">
        <v>3.10202</v>
      </c>
      <c r="E124" s="80">
        <v>3.0619399999999999</v>
      </c>
      <c r="F124" s="80">
        <v>1.4E-3</v>
      </c>
      <c r="G124" s="80">
        <v>3.8679999999999999E-2</v>
      </c>
      <c r="H124" s="40"/>
      <c r="J124" s="81"/>
      <c r="K124" s="81"/>
      <c r="L124" s="81"/>
      <c r="M124" s="81"/>
    </row>
    <row r="125" spans="1:13" ht="15" x14ac:dyDescent="0.25">
      <c r="A125" s="115"/>
      <c r="B125" s="112"/>
      <c r="C125" s="36" t="s">
        <v>92</v>
      </c>
      <c r="D125" s="80">
        <v>0.27868999999999999</v>
      </c>
      <c r="E125" s="80">
        <v>0.27509</v>
      </c>
      <c r="F125" s="80">
        <v>1.2E-4</v>
      </c>
      <c r="G125" s="80">
        <v>3.48E-3</v>
      </c>
      <c r="H125" s="40"/>
      <c r="J125" s="81"/>
      <c r="K125" s="81"/>
      <c r="L125" s="81"/>
      <c r="M125" s="81"/>
    </row>
    <row r="126" spans="1:13" ht="15" x14ac:dyDescent="0.25">
      <c r="A126" s="116"/>
      <c r="B126" s="113"/>
      <c r="C126" s="36" t="s">
        <v>93</v>
      </c>
      <c r="D126" s="80">
        <v>0.26196999999999998</v>
      </c>
      <c r="E126" s="80">
        <v>0.25857999999999998</v>
      </c>
      <c r="F126" s="80">
        <v>1.2E-4</v>
      </c>
      <c r="G126" s="80">
        <v>3.2599999999999999E-3</v>
      </c>
      <c r="H126" s="40"/>
      <c r="J126" s="81"/>
      <c r="K126" s="81"/>
      <c r="L126" s="81"/>
      <c r="M126" s="81"/>
    </row>
    <row r="127" spans="1:13" ht="15" x14ac:dyDescent="0.25">
      <c r="A127" s="44"/>
      <c r="B127" s="44"/>
      <c r="C127" s="44"/>
      <c r="D127" s="45"/>
      <c r="E127" s="45"/>
      <c r="F127" s="45"/>
      <c r="G127" s="45"/>
      <c r="H127" s="16" t="s">
        <v>102</v>
      </c>
      <c r="J127" s="81"/>
      <c r="K127" s="81"/>
      <c r="L127" s="81"/>
      <c r="M127" s="81"/>
    </row>
    <row r="128" spans="1:13" ht="15" x14ac:dyDescent="0.25">
      <c r="A128" s="44"/>
      <c r="B128" s="44"/>
      <c r="C128" s="44"/>
      <c r="D128" s="45"/>
      <c r="E128" s="45"/>
      <c r="F128" s="45"/>
      <c r="G128" s="45"/>
      <c r="H128" s="16" t="s">
        <v>102</v>
      </c>
      <c r="J128" s="81"/>
      <c r="K128" s="81"/>
      <c r="L128" s="81"/>
      <c r="M128" s="81"/>
    </row>
    <row r="129" spans="1:13" ht="15" x14ac:dyDescent="0.25">
      <c r="A129" s="44"/>
      <c r="B129" s="44"/>
      <c r="C129" s="44"/>
      <c r="D129" s="45"/>
      <c r="E129" s="45"/>
      <c r="F129" s="45"/>
      <c r="G129" s="45"/>
      <c r="H129" s="16" t="s">
        <v>102</v>
      </c>
      <c r="J129" s="81"/>
      <c r="K129" s="81"/>
      <c r="L129" s="81"/>
      <c r="M129" s="81"/>
    </row>
    <row r="130" spans="1:13" ht="18" customHeight="1" x14ac:dyDescent="0.35">
      <c r="A130" s="35" t="s">
        <v>81</v>
      </c>
      <c r="B130" s="35" t="s">
        <v>82</v>
      </c>
      <c r="C130" s="35" t="s">
        <v>83</v>
      </c>
      <c r="D130" s="36" t="s">
        <v>84</v>
      </c>
      <c r="E130" s="36" t="s">
        <v>85</v>
      </c>
      <c r="F130" s="37" t="s">
        <v>86</v>
      </c>
      <c r="G130" s="37" t="s">
        <v>87</v>
      </c>
      <c r="J130" s="81"/>
      <c r="K130" s="81"/>
      <c r="L130" s="81"/>
      <c r="M130" s="81"/>
    </row>
    <row r="131" spans="1:13" ht="15" x14ac:dyDescent="0.25">
      <c r="A131" s="114" t="s">
        <v>121</v>
      </c>
      <c r="B131" s="117" t="s">
        <v>122</v>
      </c>
      <c r="C131" s="36" t="s">
        <v>90</v>
      </c>
      <c r="D131" s="80">
        <v>2395.2899400000001</v>
      </c>
      <c r="E131" s="84">
        <v>2370.7199999999998</v>
      </c>
      <c r="F131" s="80">
        <v>7.6383999999999999</v>
      </c>
      <c r="G131" s="80">
        <v>16.931539999999998</v>
      </c>
      <c r="H131" s="40"/>
      <c r="J131" s="81"/>
      <c r="K131" s="81"/>
      <c r="L131" s="81"/>
      <c r="M131" s="81"/>
    </row>
    <row r="132" spans="1:13" ht="15" x14ac:dyDescent="0.25">
      <c r="A132" s="115"/>
      <c r="B132" s="118"/>
      <c r="C132" s="36" t="s">
        <v>92</v>
      </c>
      <c r="D132" s="80">
        <v>0.33944000000000002</v>
      </c>
      <c r="E132" s="80">
        <v>0.33595000000000003</v>
      </c>
      <c r="F132" s="80">
        <v>1.09E-3</v>
      </c>
      <c r="G132" s="80">
        <v>2.3999999999999998E-3</v>
      </c>
      <c r="H132" s="40"/>
      <c r="J132" s="81"/>
      <c r="K132" s="81"/>
      <c r="L132" s="81"/>
      <c r="M132" s="81"/>
    </row>
    <row r="133" spans="1:13" ht="15" x14ac:dyDescent="0.25">
      <c r="A133" s="115"/>
      <c r="B133" s="119"/>
      <c r="C133" s="36" t="s">
        <v>93</v>
      </c>
      <c r="D133" s="80">
        <v>0.32246000000000002</v>
      </c>
      <c r="E133" s="80">
        <v>0.31914999999999999</v>
      </c>
      <c r="F133" s="80">
        <v>1.0300000000000001E-3</v>
      </c>
      <c r="G133" s="80">
        <v>2.2799999999999999E-3</v>
      </c>
      <c r="H133" s="40"/>
      <c r="J133" s="81"/>
      <c r="K133" s="81"/>
      <c r="L133" s="81"/>
      <c r="M133" s="81"/>
    </row>
    <row r="134" spans="1:13" ht="15" x14ac:dyDescent="0.25">
      <c r="A134" s="115"/>
      <c r="B134" s="117" t="s">
        <v>123</v>
      </c>
      <c r="C134" s="36" t="s">
        <v>90</v>
      </c>
      <c r="D134" s="80">
        <v>2225.2244799999999</v>
      </c>
      <c r="E134" s="84">
        <v>2213.33</v>
      </c>
      <c r="F134" s="80">
        <v>0.67200000000000004</v>
      </c>
      <c r="G134" s="80">
        <v>11.222479999999999</v>
      </c>
      <c r="H134" s="40"/>
      <c r="J134" s="81"/>
      <c r="K134" s="81"/>
      <c r="L134" s="81"/>
      <c r="M134" s="81"/>
    </row>
    <row r="135" spans="1:13" ht="15" x14ac:dyDescent="0.25">
      <c r="A135" s="115"/>
      <c r="B135" s="118"/>
      <c r="C135" s="36" t="s">
        <v>92</v>
      </c>
      <c r="D135" s="80">
        <v>0.33621000000000001</v>
      </c>
      <c r="E135" s="80">
        <v>0.33443000000000001</v>
      </c>
      <c r="F135" s="80">
        <v>1E-4</v>
      </c>
      <c r="G135" s="80">
        <v>1.6800000000000001E-3</v>
      </c>
      <c r="H135" s="40"/>
      <c r="J135" s="81"/>
      <c r="K135" s="81"/>
      <c r="L135" s="81"/>
      <c r="M135" s="81"/>
    </row>
    <row r="136" spans="1:13" ht="15" x14ac:dyDescent="0.25">
      <c r="A136" s="115"/>
      <c r="B136" s="119"/>
      <c r="C136" s="36" t="s">
        <v>93</v>
      </c>
      <c r="D136" s="80">
        <v>0.31939000000000001</v>
      </c>
      <c r="E136" s="80">
        <v>0.31769999999999998</v>
      </c>
      <c r="F136" s="80">
        <v>1E-4</v>
      </c>
      <c r="G136" s="80">
        <v>1.5900000000000001E-3</v>
      </c>
      <c r="H136" s="40"/>
      <c r="J136" s="81"/>
      <c r="K136" s="81"/>
      <c r="L136" s="81"/>
      <c r="M136" s="81"/>
    </row>
    <row r="137" spans="1:13" ht="15" x14ac:dyDescent="0.25">
      <c r="A137" s="115"/>
      <c r="B137" s="117" t="s">
        <v>124</v>
      </c>
      <c r="C137" s="36" t="s">
        <v>90</v>
      </c>
      <c r="D137" s="80">
        <v>2904.9523399999998</v>
      </c>
      <c r="E137" s="84">
        <v>2632</v>
      </c>
      <c r="F137" s="80">
        <v>240.352</v>
      </c>
      <c r="G137" s="80">
        <v>32.600340000000003</v>
      </c>
      <c r="H137" s="40"/>
      <c r="J137" s="81"/>
      <c r="K137" s="81"/>
      <c r="L137" s="81"/>
      <c r="M137" s="81"/>
    </row>
    <row r="138" spans="1:13" ht="15" x14ac:dyDescent="0.25">
      <c r="A138" s="115"/>
      <c r="B138" s="118"/>
      <c r="C138" s="36" t="s">
        <v>92</v>
      </c>
      <c r="D138" s="80">
        <v>0.36548999999999998</v>
      </c>
      <c r="E138" s="80">
        <v>0.33115</v>
      </c>
      <c r="F138" s="80">
        <v>3.024E-2</v>
      </c>
      <c r="G138" s="80">
        <v>4.1000000000000003E-3</v>
      </c>
      <c r="H138" s="40"/>
      <c r="J138" s="81"/>
      <c r="K138" s="81"/>
      <c r="L138" s="81"/>
      <c r="M138" s="81"/>
    </row>
    <row r="139" spans="1:13" ht="15" x14ac:dyDescent="0.25">
      <c r="A139" s="115"/>
      <c r="B139" s="119"/>
      <c r="C139" s="36" t="s">
        <v>93</v>
      </c>
      <c r="D139" s="80">
        <v>0.34721000000000002</v>
      </c>
      <c r="E139" s="80">
        <v>0.31458999999999998</v>
      </c>
      <c r="F139" s="80">
        <v>2.8729999999999999E-2</v>
      </c>
      <c r="G139" s="80">
        <v>3.8899999999999998E-3</v>
      </c>
      <c r="H139" s="40"/>
      <c r="J139" s="81"/>
      <c r="K139" s="81"/>
      <c r="L139" s="81"/>
      <c r="M139" s="81"/>
    </row>
    <row r="140" spans="1:13" ht="15" x14ac:dyDescent="0.25">
      <c r="A140" s="115"/>
      <c r="B140" s="117" t="s">
        <v>125</v>
      </c>
      <c r="C140" s="36" t="s">
        <v>90</v>
      </c>
      <c r="D140" s="80">
        <v>3164.65002</v>
      </c>
      <c r="E140" s="80">
        <v>3144.16</v>
      </c>
      <c r="F140" s="80">
        <v>8.4672000000000001</v>
      </c>
      <c r="G140" s="80">
        <v>12.022819999999999</v>
      </c>
      <c r="H140" s="40"/>
      <c r="J140" s="81"/>
      <c r="K140" s="81"/>
      <c r="L140" s="81"/>
      <c r="M140" s="81"/>
    </row>
    <row r="141" spans="1:13" ht="15" x14ac:dyDescent="0.25">
      <c r="A141" s="115"/>
      <c r="B141" s="118"/>
      <c r="C141" s="36" t="s">
        <v>92</v>
      </c>
      <c r="D141" s="80">
        <v>0.37674999999999997</v>
      </c>
      <c r="E141" s="80">
        <v>0.37430999999999998</v>
      </c>
      <c r="F141" s="80">
        <v>1.01E-3</v>
      </c>
      <c r="G141" s="80">
        <v>1.4300000000000001E-3</v>
      </c>
      <c r="H141" s="40"/>
      <c r="J141" s="81"/>
      <c r="K141" s="81"/>
      <c r="L141" s="81"/>
      <c r="M141" s="81"/>
    </row>
    <row r="142" spans="1:13" ht="15" x14ac:dyDescent="0.25">
      <c r="A142" s="115"/>
      <c r="B142" s="119"/>
      <c r="C142" s="36" t="s">
        <v>93</v>
      </c>
      <c r="D142" s="80">
        <v>0.3579</v>
      </c>
      <c r="E142" s="80">
        <v>0.35559000000000002</v>
      </c>
      <c r="F142" s="80">
        <v>9.5E-4</v>
      </c>
      <c r="G142" s="80">
        <v>1.3600000000000001E-3</v>
      </c>
      <c r="H142" s="40"/>
      <c r="J142" s="81"/>
      <c r="K142" s="81"/>
      <c r="L142" s="81"/>
      <c r="M142" s="81"/>
    </row>
    <row r="143" spans="1:13" ht="15" x14ac:dyDescent="0.25">
      <c r="A143" s="115"/>
      <c r="B143" s="117" t="s">
        <v>126</v>
      </c>
      <c r="C143" s="36" t="s">
        <v>90</v>
      </c>
      <c r="D143" s="80">
        <v>3386.57168</v>
      </c>
      <c r="E143" s="80">
        <v>3377.05</v>
      </c>
      <c r="F143" s="80">
        <v>3.8304</v>
      </c>
      <c r="G143" s="80">
        <v>5.6912799999999999</v>
      </c>
      <c r="H143" s="40"/>
      <c r="J143" s="81"/>
      <c r="K143" s="81"/>
      <c r="L143" s="81"/>
      <c r="M143" s="81"/>
    </row>
    <row r="144" spans="1:13" ht="15" x14ac:dyDescent="0.25">
      <c r="A144" s="115"/>
      <c r="B144" s="118"/>
      <c r="C144" s="36" t="s">
        <v>92</v>
      </c>
      <c r="D144" s="80">
        <v>0.35887000000000002</v>
      </c>
      <c r="E144" s="80">
        <v>0.35786000000000001</v>
      </c>
      <c r="F144" s="80">
        <v>4.0000000000000002E-4</v>
      </c>
      <c r="G144" s="80">
        <v>5.9999999999999995E-4</v>
      </c>
      <c r="H144" s="40"/>
      <c r="J144" s="81"/>
      <c r="K144" s="81"/>
      <c r="L144" s="81"/>
      <c r="M144" s="81"/>
    </row>
    <row r="145" spans="1:13" ht="15" x14ac:dyDescent="0.25">
      <c r="A145" s="115"/>
      <c r="B145" s="119"/>
      <c r="C145" s="36" t="s">
        <v>93</v>
      </c>
      <c r="D145" s="80">
        <v>0.34092</v>
      </c>
      <c r="E145" s="80">
        <v>0.33996999999999999</v>
      </c>
      <c r="F145" s="80">
        <v>3.8000000000000002E-4</v>
      </c>
      <c r="G145" s="80">
        <v>5.6999999999999998E-4</v>
      </c>
      <c r="H145" s="40"/>
      <c r="J145" s="81"/>
      <c r="K145" s="81"/>
      <c r="L145" s="81"/>
      <c r="M145" s="81"/>
    </row>
    <row r="146" spans="1:13" ht="15" x14ac:dyDescent="0.25">
      <c r="A146" s="115"/>
      <c r="B146" s="117" t="s">
        <v>127</v>
      </c>
      <c r="C146" s="36" t="s">
        <v>90</v>
      </c>
      <c r="D146" s="80">
        <v>2221.7467000000001</v>
      </c>
      <c r="E146" s="84">
        <v>2209.87</v>
      </c>
      <c r="F146" s="80">
        <v>0.67200000000000004</v>
      </c>
      <c r="G146" s="80">
        <v>11.204700000000001</v>
      </c>
      <c r="H146" s="40"/>
      <c r="J146" s="81"/>
      <c r="K146" s="81"/>
      <c r="L146" s="81"/>
      <c r="M146" s="81"/>
    </row>
    <row r="147" spans="1:13" ht="15" x14ac:dyDescent="0.25">
      <c r="A147" s="115"/>
      <c r="B147" s="118"/>
      <c r="C147" s="36" t="s">
        <v>92</v>
      </c>
      <c r="D147" s="80">
        <v>0.33621000000000001</v>
      </c>
      <c r="E147" s="80">
        <v>0.33443000000000001</v>
      </c>
      <c r="F147" s="80">
        <v>1E-4</v>
      </c>
      <c r="G147" s="80">
        <v>1.6800000000000001E-3</v>
      </c>
      <c r="H147" s="40"/>
      <c r="J147" s="81"/>
      <c r="K147" s="81"/>
      <c r="L147" s="81"/>
      <c r="M147" s="81"/>
    </row>
    <row r="148" spans="1:13" ht="15" x14ac:dyDescent="0.25">
      <c r="A148" s="116"/>
      <c r="B148" s="119"/>
      <c r="C148" s="36" t="s">
        <v>93</v>
      </c>
      <c r="D148" s="80">
        <v>0.31939000000000001</v>
      </c>
      <c r="E148" s="80">
        <v>0.31769999999999998</v>
      </c>
      <c r="F148" s="80">
        <v>1E-4</v>
      </c>
      <c r="G148" s="80">
        <v>1.5900000000000001E-3</v>
      </c>
      <c r="H148" s="40"/>
      <c r="J148" s="81"/>
      <c r="K148" s="81"/>
      <c r="L148" s="81"/>
      <c r="M148" s="81"/>
    </row>
    <row r="149" spans="1:13" ht="15" x14ac:dyDescent="0.2">
      <c r="J149" s="81"/>
      <c r="K149" s="81"/>
      <c r="L149" s="81"/>
      <c r="M149" s="81"/>
    </row>
    <row r="150" spans="1:13" ht="15" x14ac:dyDescent="0.2">
      <c r="A150" s="60"/>
      <c r="B150" s="60"/>
      <c r="C150" s="60"/>
      <c r="D150" s="60"/>
      <c r="E150" s="60"/>
      <c r="F150" s="60"/>
      <c r="G150" s="60"/>
      <c r="H150" s="60"/>
      <c r="I150" s="60"/>
      <c r="J150" s="60"/>
      <c r="K150" s="60"/>
      <c r="L150" s="60"/>
    </row>
    <row r="151" spans="1:13" ht="15.75" x14ac:dyDescent="0.2">
      <c r="A151" s="107" t="s">
        <v>128</v>
      </c>
      <c r="B151" s="107"/>
      <c r="C151" s="60"/>
      <c r="D151" s="60"/>
      <c r="E151" s="60"/>
      <c r="F151" s="60"/>
      <c r="G151" s="60"/>
      <c r="H151" s="60"/>
      <c r="I151" s="60"/>
      <c r="J151" s="60"/>
      <c r="K151" s="60"/>
      <c r="L151" s="60"/>
    </row>
    <row r="152" spans="1:13" ht="15" x14ac:dyDescent="0.2">
      <c r="A152" s="108" t="s">
        <v>129</v>
      </c>
      <c r="B152" s="108"/>
      <c r="C152" s="108"/>
      <c r="D152" s="108"/>
      <c r="E152" s="108"/>
      <c r="F152" s="108"/>
      <c r="G152" s="108"/>
      <c r="H152" s="108"/>
      <c r="I152" s="108"/>
      <c r="J152" s="108"/>
      <c r="K152" s="108"/>
      <c r="L152" s="61"/>
    </row>
    <row r="153" spans="1:13" ht="25.5" customHeight="1" x14ac:dyDescent="0.2">
      <c r="A153" s="109" t="s">
        <v>130</v>
      </c>
      <c r="B153" s="110"/>
      <c r="C153" s="110"/>
      <c r="D153" s="110"/>
      <c r="E153" s="110"/>
      <c r="F153" s="110"/>
      <c r="G153" s="110"/>
      <c r="H153" s="110"/>
      <c r="I153" s="110"/>
      <c r="J153" s="110"/>
      <c r="K153" s="110"/>
      <c r="L153" s="33"/>
    </row>
    <row r="154" spans="1:13" ht="17.25" customHeight="1" x14ac:dyDescent="0.2">
      <c r="A154" s="108" t="s">
        <v>131</v>
      </c>
      <c r="B154" s="108"/>
      <c r="C154" s="108"/>
      <c r="D154" s="108"/>
      <c r="E154" s="108"/>
      <c r="F154" s="108"/>
      <c r="G154" s="108"/>
      <c r="H154" s="108"/>
      <c r="I154" s="108"/>
      <c r="J154" s="108"/>
      <c r="K154" s="108"/>
      <c r="L154" s="61"/>
    </row>
    <row r="155" spans="1:13" s="16" customFormat="1" ht="115.5" customHeight="1" x14ac:dyDescent="0.2">
      <c r="A155" s="105" t="s">
        <v>132</v>
      </c>
      <c r="B155" s="105"/>
      <c r="C155" s="105"/>
      <c r="D155" s="105"/>
      <c r="E155" s="105"/>
      <c r="F155" s="105"/>
      <c r="G155" s="105"/>
      <c r="H155" s="105"/>
      <c r="I155" s="105"/>
      <c r="J155" s="105"/>
      <c r="K155" s="105"/>
      <c r="L155" s="61"/>
    </row>
    <row r="156" spans="1:13" ht="17.25" customHeight="1" x14ac:dyDescent="0.2"/>
    <row r="157" spans="1:13" s="16" customFormat="1" ht="15" x14ac:dyDescent="0.2">
      <c r="A157" s="108" t="s">
        <v>133</v>
      </c>
      <c r="B157" s="108"/>
      <c r="C157" s="108"/>
      <c r="D157" s="108"/>
      <c r="E157" s="108"/>
      <c r="F157" s="108"/>
      <c r="G157" s="108"/>
      <c r="H157" s="108"/>
      <c r="I157" s="108"/>
      <c r="J157" s="108"/>
      <c r="K157" s="108"/>
      <c r="L157" s="61"/>
    </row>
    <row r="158" spans="1:13" ht="108.75" customHeight="1" x14ac:dyDescent="0.2">
      <c r="A158" s="105" t="s">
        <v>160</v>
      </c>
      <c r="B158" s="105"/>
      <c r="C158" s="105"/>
      <c r="D158" s="105"/>
      <c r="E158" s="105"/>
      <c r="F158" s="105"/>
      <c r="G158" s="105"/>
      <c r="H158" s="105"/>
      <c r="I158" s="105"/>
      <c r="J158" s="105"/>
      <c r="K158" s="105"/>
      <c r="L158" s="61"/>
    </row>
    <row r="160" spans="1:13" s="16" customFormat="1" ht="20.25" customHeight="1" x14ac:dyDescent="0.2">
      <c r="A160" s="106" t="s">
        <v>135</v>
      </c>
      <c r="B160" s="106"/>
      <c r="C160" s="106"/>
      <c r="D160" s="106"/>
      <c r="E160" s="106"/>
      <c r="F160" s="106"/>
      <c r="G160" s="106"/>
      <c r="H160" s="106"/>
      <c r="I160" s="106"/>
      <c r="J160" s="106"/>
      <c r="K160" s="106"/>
      <c r="L160" s="106"/>
    </row>
  </sheetData>
  <mergeCells count="55">
    <mergeCell ref="B51:B54"/>
    <mergeCell ref="B83:B86"/>
    <mergeCell ref="B87:B90"/>
    <mergeCell ref="B107:B110"/>
    <mergeCell ref="B131:B133"/>
    <mergeCell ref="B123:B126"/>
    <mergeCell ref="M12:X12"/>
    <mergeCell ref="A8:L8"/>
    <mergeCell ref="A152:K152"/>
    <mergeCell ref="A14:L14"/>
    <mergeCell ref="A16:L16"/>
    <mergeCell ref="A17:L17"/>
    <mergeCell ref="A18:L18"/>
    <mergeCell ref="A19:L19"/>
    <mergeCell ref="A20:L20"/>
    <mergeCell ref="A15:L15"/>
    <mergeCell ref="A10:L10"/>
    <mergeCell ref="A11:L11"/>
    <mergeCell ref="A12:L12"/>
    <mergeCell ref="A13:L13"/>
    <mergeCell ref="B27:B30"/>
    <mergeCell ref="B23:B26"/>
    <mergeCell ref="B43:B46"/>
    <mergeCell ref="B47:B50"/>
    <mergeCell ref="B95:B98"/>
    <mergeCell ref="A160:L160"/>
    <mergeCell ref="A155:K155"/>
    <mergeCell ref="A154:K154"/>
    <mergeCell ref="B59:B62"/>
    <mergeCell ref="B63:B66"/>
    <mergeCell ref="A23:A54"/>
    <mergeCell ref="B79:B82"/>
    <mergeCell ref="B67:B70"/>
    <mergeCell ref="B71:B74"/>
    <mergeCell ref="B75:B78"/>
    <mergeCell ref="B31:B34"/>
    <mergeCell ref="B35:B38"/>
    <mergeCell ref="B39:B42"/>
    <mergeCell ref="A157:K157"/>
    <mergeCell ref="A153:K153"/>
    <mergeCell ref="A158:K158"/>
    <mergeCell ref="B140:B142"/>
    <mergeCell ref="B115:B118"/>
    <mergeCell ref="B143:B145"/>
    <mergeCell ref="B146:B148"/>
    <mergeCell ref="B119:B122"/>
    <mergeCell ref="B134:B136"/>
    <mergeCell ref="B99:B102"/>
    <mergeCell ref="A131:A148"/>
    <mergeCell ref="A151:B151"/>
    <mergeCell ref="A59:A126"/>
    <mergeCell ref="B111:B114"/>
    <mergeCell ref="B137:B139"/>
    <mergeCell ref="B91:B94"/>
    <mergeCell ref="B103:B106"/>
  </mergeCells>
  <hyperlinks>
    <hyperlink ref="A153:K153" location="Conversions!A1" display="Defra provide a specific conversion table at the back of these listings to allow organisations to convert the conversion factors into different units where required.   Please see the ‘conversions’ listing." xr:uid="{3EB95793-9CA4-48A8-8650-E30508982ED1}"/>
    <hyperlink ref="A3" location="Index!A1" display="Index" xr:uid="{B5408440-7F68-4F28-9569-F09978D873A9}"/>
    <hyperlink ref="A20:L20" location="'Outside of scopes'!A1" display="(For more information refer to the ‘outside of scopes’ tab for guidance)." xr:uid="{47B0B2EE-68EA-48F7-A15E-7C3D11641D18}"/>
    <hyperlink ref="A12:L12" r:id="rId1" display="●  'Diesel (average biofuel blend)'/'diesel (100% mineral oil)' - typically organisations purchasing forecourt fuel should use 'diesel (average biofuel blend)'. It should be noted that any fuel an organisation reports in Scope 1 that has biofuel content m" xr:uid="{ED69163F-E837-4C4B-8BDC-075E78709AE4}"/>
  </hyperlinks>
  <pageMargins left="0.7" right="0.7" top="0.75" bottom="0.75" header="0.3" footer="0.3"/>
  <pageSetup paperSize="9" scale="37"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1F58D-F2A1-48F4-BB44-90238D6A3A86}">
  <sheetPr>
    <tabColor theme="4" tint="0.39997558519241921"/>
    <pageSetUpPr fitToPage="1"/>
  </sheetPr>
  <dimension ref="A1:R128"/>
  <sheetViews>
    <sheetView topLeftCell="A16" zoomScaleNormal="100" workbookViewId="0">
      <selection activeCell="E24" sqref="E24"/>
    </sheetView>
  </sheetViews>
  <sheetFormatPr defaultColWidth="11.28515625" defaultRowHeight="15" x14ac:dyDescent="0.25"/>
  <cols>
    <col min="1" max="1" width="20.7109375" style="79" customWidth="1"/>
    <col min="2" max="2" width="14.42578125" style="79" customWidth="1"/>
    <col min="3" max="3" width="11" style="79" customWidth="1"/>
    <col min="4" max="4" width="10.5703125" style="79" customWidth="1"/>
    <col min="5" max="5" width="11.5703125" style="79" bestFit="1" customWidth="1"/>
    <col min="6" max="6" width="21.7109375" style="79" bestFit="1" customWidth="1"/>
    <col min="7" max="7" width="21.5703125" style="79" bestFit="1" customWidth="1"/>
    <col min="8" max="8" width="22" style="79" bestFit="1" customWidth="1"/>
    <col min="9" max="11" width="11.28515625" style="79"/>
    <col min="12" max="12" width="14.28515625" style="79" customWidth="1"/>
    <col min="13" max="18" width="11.28515625" style="79"/>
    <col min="19" max="16384" width="11.28515625" style="63"/>
  </cols>
  <sheetData>
    <row r="1" spans="1:18" s="14" customFormat="1" ht="11.25" x14ac:dyDescent="0.2">
      <c r="A1" s="14" t="s">
        <v>58</v>
      </c>
    </row>
    <row r="2" spans="1:18" ht="21" x14ac:dyDescent="0.35">
      <c r="A2" s="15" t="s">
        <v>136</v>
      </c>
      <c r="B2" s="15"/>
      <c r="C2" s="15"/>
      <c r="D2" s="15"/>
      <c r="E2" s="15"/>
      <c r="F2" s="15"/>
      <c r="G2" s="63"/>
      <c r="H2" s="63"/>
      <c r="I2" s="63"/>
      <c r="J2" s="63"/>
      <c r="K2" s="63"/>
      <c r="L2" s="63"/>
      <c r="M2" s="63"/>
      <c r="N2" s="63"/>
      <c r="O2" s="63"/>
      <c r="P2" s="63"/>
      <c r="Q2" s="63"/>
      <c r="R2" s="63"/>
    </row>
    <row r="3" spans="1:18" x14ac:dyDescent="0.25">
      <c r="A3" s="18" t="s">
        <v>60</v>
      </c>
      <c r="B3" s="63"/>
      <c r="C3" s="63"/>
      <c r="D3" s="63"/>
      <c r="E3" s="63"/>
      <c r="F3" s="63"/>
      <c r="G3" s="63"/>
      <c r="H3" s="63"/>
      <c r="I3" s="63"/>
      <c r="J3" s="63"/>
      <c r="K3" s="63"/>
      <c r="L3" s="63"/>
      <c r="M3" s="63"/>
      <c r="N3" s="63"/>
      <c r="O3" s="63"/>
      <c r="P3" s="63"/>
      <c r="Q3" s="63"/>
      <c r="R3" s="63"/>
    </row>
    <row r="4" spans="1:18" s="64" customFormat="1" ht="7.5" thickBot="1" x14ac:dyDescent="0.2"/>
    <row r="5" spans="1:18" ht="41.25" thickTop="1" x14ac:dyDescent="0.25">
      <c r="A5" s="22" t="s">
        <v>61</v>
      </c>
      <c r="B5" s="23" t="s">
        <v>136</v>
      </c>
      <c r="C5" s="22" t="s">
        <v>62</v>
      </c>
      <c r="D5" s="24">
        <v>45453</v>
      </c>
      <c r="E5" s="25" t="s">
        <v>63</v>
      </c>
      <c r="F5" s="24" t="s">
        <v>64</v>
      </c>
      <c r="G5" s="63"/>
      <c r="H5" s="63"/>
      <c r="I5" s="63"/>
      <c r="J5" s="63"/>
      <c r="K5" s="63"/>
      <c r="L5" s="63"/>
      <c r="M5" s="63"/>
      <c r="N5" s="63"/>
      <c r="O5" s="63"/>
      <c r="P5" s="63"/>
      <c r="Q5" s="63"/>
      <c r="R5" s="63"/>
    </row>
    <row r="6" spans="1:18" ht="15.75" thickBot="1" x14ac:dyDescent="0.3">
      <c r="A6" s="26" t="s">
        <v>65</v>
      </c>
      <c r="B6" s="27" t="s">
        <v>137</v>
      </c>
      <c r="C6" s="28" t="s">
        <v>67</v>
      </c>
      <c r="D6" s="29">
        <v>1.1000000000000001</v>
      </c>
      <c r="E6" s="28" t="s">
        <v>68</v>
      </c>
      <c r="F6" s="30">
        <v>2023</v>
      </c>
      <c r="G6" s="63"/>
      <c r="H6" s="63"/>
      <c r="I6" s="63"/>
      <c r="J6" s="63"/>
      <c r="K6" s="63"/>
      <c r="L6" s="63"/>
      <c r="M6" s="63"/>
      <c r="N6" s="63"/>
      <c r="O6" s="63"/>
      <c r="P6" s="63"/>
      <c r="Q6" s="63"/>
      <c r="R6" s="63"/>
    </row>
    <row r="7" spans="1:18" ht="16.5" thickTop="1" thickBot="1" x14ac:dyDescent="0.3">
      <c r="A7" s="63"/>
      <c r="B7" s="63"/>
      <c r="C7" s="63"/>
      <c r="D7" s="63"/>
      <c r="E7" s="63"/>
      <c r="F7" s="63"/>
      <c r="G7" s="63"/>
      <c r="H7" s="63"/>
      <c r="I7" s="63"/>
      <c r="J7" s="63"/>
      <c r="K7" s="63"/>
      <c r="L7" s="63"/>
      <c r="M7" s="63"/>
      <c r="N7" s="63"/>
      <c r="O7" s="63"/>
      <c r="P7" s="63"/>
      <c r="Q7" s="63"/>
      <c r="R7" s="63"/>
    </row>
    <row r="8" spans="1:18" ht="50.25" customHeight="1" thickTop="1" thickBot="1" x14ac:dyDescent="0.3">
      <c r="A8" s="143" t="s">
        <v>138</v>
      </c>
      <c r="B8" s="144"/>
      <c r="C8" s="144"/>
      <c r="D8" s="144"/>
      <c r="E8" s="144"/>
      <c r="F8" s="144"/>
      <c r="G8" s="144"/>
      <c r="H8" s="144"/>
      <c r="I8" s="144"/>
      <c r="J8" s="144"/>
      <c r="K8" s="144"/>
      <c r="L8" s="145"/>
      <c r="M8" s="63"/>
      <c r="N8" s="63"/>
      <c r="O8" s="63"/>
      <c r="P8" s="63"/>
      <c r="Q8" s="63"/>
      <c r="R8" s="63"/>
    </row>
    <row r="9" spans="1:18" ht="15.75" thickTop="1" x14ac:dyDescent="0.25">
      <c r="A9" s="140"/>
      <c r="B9" s="141"/>
      <c r="C9" s="141"/>
      <c r="D9" s="141"/>
      <c r="E9" s="141"/>
      <c r="F9" s="141"/>
      <c r="G9" s="141"/>
      <c r="H9" s="141"/>
      <c r="I9" s="141"/>
      <c r="J9" s="141"/>
      <c r="K9" s="141"/>
      <c r="L9" s="141"/>
      <c r="M9" s="63"/>
      <c r="N9" s="63"/>
      <c r="O9" s="63"/>
      <c r="P9" s="63"/>
      <c r="Q9" s="63"/>
      <c r="R9" s="63"/>
    </row>
    <row r="10" spans="1:18" ht="15.75" x14ac:dyDescent="0.25">
      <c r="A10" s="138" t="s">
        <v>70</v>
      </c>
      <c r="B10" s="138"/>
      <c r="C10" s="138"/>
      <c r="D10" s="138"/>
      <c r="E10" s="138"/>
      <c r="F10" s="138"/>
      <c r="G10" s="138"/>
      <c r="H10" s="138"/>
      <c r="I10" s="138"/>
      <c r="J10" s="138"/>
      <c r="K10" s="138"/>
      <c r="L10" s="138"/>
      <c r="M10" s="63"/>
      <c r="N10" s="63"/>
      <c r="O10" s="63"/>
      <c r="P10" s="63"/>
      <c r="Q10" s="63"/>
      <c r="R10" s="63"/>
    </row>
    <row r="11" spans="1:18" ht="24" customHeight="1" x14ac:dyDescent="0.25">
      <c r="A11" s="140" t="s">
        <v>139</v>
      </c>
      <c r="B11" s="140"/>
      <c r="C11" s="140"/>
      <c r="D11" s="140"/>
      <c r="E11" s="140"/>
      <c r="F11" s="140"/>
      <c r="G11" s="140"/>
      <c r="H11" s="140"/>
      <c r="I11" s="140"/>
      <c r="J11" s="140"/>
      <c r="K11" s="140"/>
      <c r="L11" s="140"/>
      <c r="M11" s="63"/>
      <c r="N11" s="63"/>
      <c r="O11" s="63"/>
      <c r="P11" s="63"/>
      <c r="Q11" s="63"/>
      <c r="R11" s="63"/>
    </row>
    <row r="12" spans="1:18" ht="94.9" customHeight="1" x14ac:dyDescent="0.25">
      <c r="A12" s="141" t="s">
        <v>140</v>
      </c>
      <c r="B12" s="141"/>
      <c r="C12" s="141"/>
      <c r="D12" s="141"/>
      <c r="E12" s="141"/>
      <c r="F12" s="141"/>
      <c r="G12" s="141"/>
      <c r="H12" s="141"/>
      <c r="I12" s="141"/>
      <c r="J12" s="141"/>
      <c r="K12" s="141"/>
      <c r="L12" s="141"/>
      <c r="M12" s="66"/>
      <c r="N12" s="63"/>
      <c r="O12" s="63"/>
      <c r="P12" s="63"/>
      <c r="Q12" s="63"/>
      <c r="R12" s="63"/>
    </row>
    <row r="13" spans="1:18" ht="38.1" customHeight="1" x14ac:dyDescent="0.25">
      <c r="A13" s="140" t="s">
        <v>141</v>
      </c>
      <c r="B13" s="140"/>
      <c r="C13" s="140"/>
      <c r="D13" s="140"/>
      <c r="E13" s="140"/>
      <c r="F13" s="140"/>
      <c r="G13" s="140"/>
      <c r="H13" s="140"/>
      <c r="I13" s="140"/>
      <c r="J13" s="140"/>
      <c r="K13" s="140"/>
      <c r="L13" s="140"/>
      <c r="M13" s="63"/>
      <c r="N13" s="63"/>
      <c r="O13" s="63"/>
      <c r="P13" s="63"/>
      <c r="Q13" s="63"/>
      <c r="R13" s="63"/>
    </row>
    <row r="14" spans="1:18" ht="35.1" customHeight="1" x14ac:dyDescent="0.25">
      <c r="A14" s="141" t="s">
        <v>142</v>
      </c>
      <c r="B14" s="141"/>
      <c r="C14" s="141"/>
      <c r="D14" s="141"/>
      <c r="E14" s="141"/>
      <c r="F14" s="141"/>
      <c r="G14" s="141"/>
      <c r="H14" s="141"/>
      <c r="I14" s="141"/>
      <c r="J14" s="141"/>
      <c r="K14" s="141"/>
      <c r="L14" s="141"/>
      <c r="M14" s="63"/>
      <c r="N14" s="63"/>
      <c r="O14" s="63"/>
      <c r="P14" s="63"/>
      <c r="Q14" s="63"/>
      <c r="R14" s="63"/>
    </row>
    <row r="15" spans="1:18" ht="43.35" customHeight="1" x14ac:dyDescent="0.25">
      <c r="A15" s="140" t="s">
        <v>143</v>
      </c>
      <c r="B15" s="140"/>
      <c r="C15" s="140"/>
      <c r="D15" s="140"/>
      <c r="E15" s="140"/>
      <c r="F15" s="140"/>
      <c r="G15" s="140"/>
      <c r="H15" s="140"/>
      <c r="I15" s="140"/>
      <c r="J15" s="140"/>
      <c r="K15" s="140"/>
      <c r="L15" s="140"/>
      <c r="M15" s="63"/>
      <c r="N15" s="63"/>
      <c r="O15" s="63"/>
      <c r="P15" s="63"/>
      <c r="Q15" s="63"/>
      <c r="R15" s="63"/>
    </row>
    <row r="16" spans="1:18" ht="10.5" customHeight="1" x14ac:dyDescent="0.25">
      <c r="A16" s="65"/>
      <c r="B16" s="65"/>
      <c r="C16" s="65"/>
      <c r="D16" s="65"/>
      <c r="E16" s="65"/>
      <c r="F16" s="65"/>
      <c r="G16" s="65"/>
      <c r="H16" s="65"/>
      <c r="I16" s="65"/>
      <c r="J16" s="65"/>
      <c r="K16" s="65"/>
      <c r="L16" s="65"/>
      <c r="M16" s="63"/>
      <c r="N16" s="63"/>
      <c r="O16" s="63"/>
      <c r="P16" s="63"/>
      <c r="Q16" s="63"/>
      <c r="R16" s="63"/>
    </row>
    <row r="17" spans="1:18" ht="15.75" x14ac:dyDescent="0.25">
      <c r="A17" s="67" t="s">
        <v>144</v>
      </c>
      <c r="B17" s="68"/>
      <c r="C17" s="68"/>
      <c r="D17" s="68"/>
      <c r="E17" s="68"/>
      <c r="F17" s="68"/>
      <c r="G17" s="68"/>
      <c r="H17" s="68"/>
      <c r="I17" s="68"/>
      <c r="J17" s="68"/>
      <c r="K17" s="68"/>
      <c r="L17" s="68"/>
      <c r="M17" s="63"/>
      <c r="N17" s="63"/>
      <c r="O17" s="63"/>
      <c r="P17" s="63"/>
      <c r="Q17" s="63"/>
      <c r="R17" s="63"/>
    </row>
    <row r="18" spans="1:18" s="70" customFormat="1" ht="191.25" customHeight="1" x14ac:dyDescent="0.25">
      <c r="A18" s="142" t="s">
        <v>145</v>
      </c>
      <c r="B18" s="142"/>
      <c r="C18" s="142"/>
      <c r="D18" s="142"/>
      <c r="E18" s="142"/>
      <c r="F18" s="142"/>
      <c r="G18" s="142"/>
      <c r="H18" s="142"/>
      <c r="I18" s="142"/>
      <c r="J18" s="142"/>
      <c r="K18" s="142"/>
      <c r="L18" s="142"/>
    </row>
    <row r="19" spans="1:18" ht="19.350000000000001" customHeight="1" x14ac:dyDescent="0.25">
      <c r="A19" s="138" t="s">
        <v>146</v>
      </c>
      <c r="B19" s="138"/>
      <c r="C19" s="138"/>
      <c r="D19" s="138"/>
      <c r="E19" s="138"/>
      <c r="F19" s="138"/>
      <c r="G19" s="138"/>
      <c r="H19" s="138"/>
      <c r="I19" s="138"/>
      <c r="J19" s="138"/>
      <c r="K19" s="138"/>
      <c r="L19" s="138"/>
      <c r="M19" s="63"/>
      <c r="N19" s="63"/>
      <c r="O19" s="63"/>
      <c r="P19" s="63"/>
      <c r="Q19" s="63"/>
      <c r="R19" s="63"/>
    </row>
    <row r="20" spans="1:18" ht="18.75" customHeight="1" x14ac:dyDescent="0.25">
      <c r="A20" s="140" t="s">
        <v>147</v>
      </c>
      <c r="B20" s="140"/>
      <c r="C20" s="140"/>
      <c r="D20" s="140"/>
      <c r="E20" s="140"/>
      <c r="F20" s="140"/>
      <c r="G20" s="140"/>
      <c r="H20" s="140"/>
      <c r="I20" s="140"/>
      <c r="J20" s="140"/>
      <c r="K20" s="140"/>
      <c r="L20" s="140"/>
      <c r="M20" s="63"/>
      <c r="N20" s="63"/>
      <c r="O20" s="63"/>
      <c r="P20" s="63"/>
      <c r="Q20" s="63"/>
      <c r="R20" s="63"/>
    </row>
    <row r="21" spans="1:18" ht="24" customHeight="1" x14ac:dyDescent="0.25">
      <c r="A21" s="140" t="s">
        <v>148</v>
      </c>
      <c r="B21" s="140"/>
      <c r="C21" s="140"/>
      <c r="D21" s="140"/>
      <c r="E21" s="140"/>
      <c r="F21" s="140"/>
      <c r="G21" s="140"/>
      <c r="H21" s="140"/>
      <c r="I21" s="140"/>
      <c r="J21" s="140"/>
      <c r="K21" s="140"/>
      <c r="L21" s="140"/>
      <c r="M21" s="63"/>
      <c r="N21" s="63"/>
      <c r="O21" s="63"/>
      <c r="P21" s="63"/>
      <c r="Q21" s="63"/>
      <c r="R21" s="63"/>
    </row>
    <row r="22" spans="1:18" s="44" customFormat="1" ht="26.25" customHeight="1" x14ac:dyDescent="0.25">
      <c r="A22" s="69"/>
      <c r="B22" s="69"/>
      <c r="C22" s="69"/>
      <c r="D22" s="69"/>
      <c r="E22" s="69"/>
      <c r="F22" s="69"/>
      <c r="G22" s="69"/>
      <c r="H22" s="69"/>
      <c r="I22" s="69"/>
      <c r="J22" s="69"/>
      <c r="K22" s="69"/>
      <c r="L22" s="69"/>
    </row>
    <row r="23" spans="1:18" s="44" customFormat="1" ht="18" x14ac:dyDescent="0.35">
      <c r="A23" s="71" t="s">
        <v>81</v>
      </c>
      <c r="B23" s="35" t="s">
        <v>149</v>
      </c>
      <c r="C23" s="35" t="s">
        <v>83</v>
      </c>
      <c r="D23" s="36" t="s">
        <v>150</v>
      </c>
      <c r="E23" s="36" t="s">
        <v>84</v>
      </c>
      <c r="F23" s="36" t="s">
        <v>85</v>
      </c>
      <c r="G23" s="36" t="s">
        <v>86</v>
      </c>
      <c r="H23" s="36" t="s">
        <v>87</v>
      </c>
    </row>
    <row r="24" spans="1:18" s="44" customFormat="1" x14ac:dyDescent="0.25">
      <c r="A24" s="72" t="s">
        <v>151</v>
      </c>
      <c r="B24" s="36" t="s">
        <v>152</v>
      </c>
      <c r="C24" s="36" t="s">
        <v>153</v>
      </c>
      <c r="D24" s="73">
        <v>2023</v>
      </c>
      <c r="E24" s="95">
        <v>0.20707428859060403</v>
      </c>
      <c r="F24" s="74">
        <v>0.20496</v>
      </c>
      <c r="G24" s="74">
        <v>8.9600000000000009E-4</v>
      </c>
      <c r="H24" s="74">
        <v>1.2182885906040267E-3</v>
      </c>
      <c r="M24" s="75"/>
    </row>
    <row r="25" spans="1:18" s="44" customFormat="1" x14ac:dyDescent="0.25">
      <c r="A25" s="69"/>
      <c r="B25" s="70"/>
      <c r="C25" s="70"/>
      <c r="D25" s="70"/>
      <c r="E25" s="70"/>
      <c r="F25" s="70"/>
      <c r="G25" s="70"/>
      <c r="H25" s="70"/>
      <c r="I25" s="70"/>
      <c r="J25" s="70"/>
      <c r="K25" s="70"/>
      <c r="L25" s="70"/>
    </row>
    <row r="26" spans="1:18" s="44" customFormat="1" x14ac:dyDescent="0.25">
      <c r="A26" s="69"/>
      <c r="B26" s="70"/>
      <c r="C26" s="70"/>
      <c r="D26" s="70"/>
      <c r="E26" s="70"/>
      <c r="F26" s="70"/>
      <c r="G26" s="70"/>
      <c r="H26" s="70"/>
      <c r="I26" s="70"/>
      <c r="J26" s="70"/>
      <c r="K26" s="70"/>
      <c r="L26" s="70"/>
    </row>
    <row r="27" spans="1:18" s="76" customFormat="1" ht="15.75" x14ac:dyDescent="0.25">
      <c r="A27" s="138" t="s">
        <v>128</v>
      </c>
      <c r="B27" s="138"/>
      <c r="C27" s="138"/>
      <c r="D27" s="138"/>
      <c r="E27" s="138"/>
      <c r="F27" s="138"/>
      <c r="G27" s="138"/>
      <c r="H27" s="138"/>
      <c r="I27" s="138"/>
      <c r="J27" s="138"/>
      <c r="K27" s="138"/>
      <c r="L27" s="138"/>
    </row>
    <row r="28" spans="1:18" s="77" customFormat="1" ht="18" customHeight="1" x14ac:dyDescent="0.25">
      <c r="A28" s="139" t="s">
        <v>154</v>
      </c>
      <c r="B28" s="139"/>
      <c r="C28" s="139"/>
      <c r="D28" s="139"/>
      <c r="E28" s="139"/>
      <c r="F28" s="139"/>
      <c r="G28" s="139"/>
      <c r="H28" s="139"/>
      <c r="I28" s="139"/>
      <c r="J28" s="139"/>
      <c r="K28" s="139"/>
      <c r="L28" s="139"/>
    </row>
    <row r="29" spans="1:18" s="78" customFormat="1" ht="54" customHeight="1" x14ac:dyDescent="0.25">
      <c r="A29" s="140" t="s">
        <v>155</v>
      </c>
      <c r="B29" s="140"/>
      <c r="C29" s="140"/>
      <c r="D29" s="140"/>
      <c r="E29" s="140"/>
      <c r="F29" s="140"/>
      <c r="G29" s="140"/>
      <c r="H29" s="140"/>
      <c r="I29" s="140"/>
      <c r="J29" s="140"/>
      <c r="K29" s="140"/>
      <c r="L29" s="140"/>
    </row>
    <row r="30" spans="1:18" s="77" customFormat="1" ht="23.25" customHeight="1" x14ac:dyDescent="0.25">
      <c r="A30" s="139" t="s">
        <v>156</v>
      </c>
      <c r="B30" s="139"/>
      <c r="C30" s="139"/>
      <c r="D30" s="139"/>
      <c r="E30" s="139"/>
      <c r="F30" s="139"/>
      <c r="G30" s="139"/>
      <c r="H30" s="139"/>
      <c r="I30" s="139"/>
      <c r="J30" s="139"/>
      <c r="K30" s="139"/>
      <c r="L30" s="139"/>
    </row>
    <row r="31" spans="1:18" s="78" customFormat="1" ht="35.25" customHeight="1" x14ac:dyDescent="0.25">
      <c r="A31" s="140" t="s">
        <v>157</v>
      </c>
      <c r="B31" s="140"/>
      <c r="C31" s="140"/>
      <c r="D31" s="140"/>
      <c r="E31" s="140"/>
      <c r="F31" s="140"/>
      <c r="G31" s="140"/>
      <c r="H31" s="140"/>
      <c r="I31" s="140"/>
      <c r="J31" s="140"/>
      <c r="K31" s="140"/>
      <c r="L31" s="140"/>
    </row>
    <row r="32" spans="1:18" x14ac:dyDescent="0.25">
      <c r="A32" s="62" t="s">
        <v>135</v>
      </c>
      <c r="B32" s="62"/>
      <c r="C32" s="62"/>
      <c r="D32" s="62"/>
      <c r="E32" s="62"/>
      <c r="F32" s="62"/>
      <c r="G32" s="62"/>
      <c r="H32" s="62"/>
      <c r="I32" s="62"/>
      <c r="J32" s="62"/>
      <c r="K32" s="62"/>
      <c r="L32" s="62"/>
      <c r="M32" s="63"/>
      <c r="N32" s="63"/>
      <c r="O32" s="63"/>
      <c r="P32" s="63"/>
      <c r="Q32" s="63"/>
      <c r="R32" s="63"/>
    </row>
    <row r="33" s="63" customFormat="1" x14ac:dyDescent="0.25"/>
    <row r="34" s="63" customFormat="1" x14ac:dyDescent="0.25"/>
    <row r="35" s="63" customFormat="1" x14ac:dyDescent="0.25"/>
    <row r="36" s="63" customFormat="1" x14ac:dyDescent="0.25"/>
    <row r="37" s="63" customFormat="1" x14ac:dyDescent="0.25"/>
    <row r="38" s="63" customFormat="1" x14ac:dyDescent="0.25"/>
    <row r="39" s="63" customFormat="1" x14ac:dyDescent="0.25"/>
    <row r="40" s="63" customFormat="1" x14ac:dyDescent="0.25"/>
    <row r="41" s="63" customFormat="1" x14ac:dyDescent="0.25"/>
    <row r="42" s="63" customFormat="1" x14ac:dyDescent="0.25"/>
    <row r="43" s="63" customFormat="1" x14ac:dyDescent="0.25"/>
    <row r="44" s="63" customFormat="1" x14ac:dyDescent="0.25"/>
    <row r="45" s="63" customFormat="1" x14ac:dyDescent="0.25"/>
    <row r="46" s="63" customFormat="1" x14ac:dyDescent="0.25"/>
    <row r="47" s="63" customFormat="1" x14ac:dyDescent="0.25"/>
    <row r="48" s="63" customFormat="1" x14ac:dyDescent="0.25"/>
    <row r="49" s="63" customFormat="1" x14ac:dyDescent="0.25"/>
    <row r="50" s="63" customFormat="1" x14ac:dyDescent="0.25"/>
    <row r="51" s="63" customFormat="1" x14ac:dyDescent="0.25"/>
    <row r="52" s="63" customFormat="1" x14ac:dyDescent="0.25"/>
    <row r="53" s="63" customFormat="1" x14ac:dyDescent="0.25"/>
    <row r="54" s="63" customFormat="1" x14ac:dyDescent="0.25"/>
    <row r="55" s="63" customFormat="1" x14ac:dyDescent="0.25"/>
    <row r="56" s="63" customFormat="1" x14ac:dyDescent="0.25"/>
    <row r="57" s="63" customFormat="1" x14ac:dyDescent="0.25"/>
    <row r="58" s="63" customFormat="1" x14ac:dyDescent="0.25"/>
    <row r="59" s="63" customFormat="1" x14ac:dyDescent="0.25"/>
    <row r="60" s="63" customFormat="1" x14ac:dyDescent="0.25"/>
    <row r="61" s="63" customFormat="1" x14ac:dyDescent="0.25"/>
    <row r="62" s="63" customFormat="1" x14ac:dyDescent="0.25"/>
    <row r="63" s="63" customFormat="1" x14ac:dyDescent="0.25"/>
    <row r="64" s="63" customFormat="1" x14ac:dyDescent="0.25"/>
    <row r="65" s="63" customFormat="1" x14ac:dyDescent="0.25"/>
    <row r="66" s="63" customFormat="1" x14ac:dyDescent="0.25"/>
    <row r="67" s="63" customFormat="1" x14ac:dyDescent="0.25"/>
    <row r="68" s="63" customFormat="1" x14ac:dyDescent="0.25"/>
    <row r="69" s="63" customFormat="1" x14ac:dyDescent="0.25"/>
    <row r="70" s="63" customFormat="1" x14ac:dyDescent="0.25"/>
    <row r="71" s="63" customFormat="1" x14ac:dyDescent="0.25"/>
    <row r="72" s="63" customFormat="1" x14ac:dyDescent="0.25"/>
    <row r="73" s="63" customFormat="1" x14ac:dyDescent="0.25"/>
    <row r="74" s="63" customFormat="1" x14ac:dyDescent="0.25"/>
    <row r="75" s="63" customFormat="1" x14ac:dyDescent="0.25"/>
    <row r="76" s="63" customFormat="1" x14ac:dyDescent="0.25"/>
    <row r="77" s="63" customFormat="1" x14ac:dyDescent="0.25"/>
    <row r="78" s="63" customFormat="1" x14ac:dyDescent="0.25"/>
    <row r="79" s="63" customFormat="1" x14ac:dyDescent="0.25"/>
    <row r="80" s="63" customFormat="1" x14ac:dyDescent="0.25"/>
    <row r="81" s="63" customFormat="1" x14ac:dyDescent="0.25"/>
    <row r="82" s="63" customFormat="1" x14ac:dyDescent="0.25"/>
    <row r="83" s="63" customFormat="1" x14ac:dyDescent="0.25"/>
    <row r="84" s="63" customFormat="1" x14ac:dyDescent="0.25"/>
    <row r="85" s="63" customFormat="1" x14ac:dyDescent="0.25"/>
    <row r="86" s="63" customFormat="1" x14ac:dyDescent="0.25"/>
    <row r="87" s="63" customFormat="1" x14ac:dyDescent="0.25"/>
    <row r="88" s="63" customFormat="1" x14ac:dyDescent="0.25"/>
    <row r="89" s="63" customFormat="1" x14ac:dyDescent="0.25"/>
    <row r="90" s="63" customFormat="1" x14ac:dyDescent="0.25"/>
    <row r="91" s="63" customFormat="1" x14ac:dyDescent="0.25"/>
    <row r="92" s="63" customFormat="1" x14ac:dyDescent="0.25"/>
    <row r="93" s="63" customFormat="1" x14ac:dyDescent="0.25"/>
    <row r="94" s="63" customFormat="1" x14ac:dyDescent="0.25"/>
    <row r="95" s="63" customFormat="1" x14ac:dyDescent="0.25"/>
    <row r="96" s="63" customFormat="1" x14ac:dyDescent="0.25"/>
    <row r="97" s="63" customFormat="1" x14ac:dyDescent="0.25"/>
    <row r="98" s="63" customFormat="1" x14ac:dyDescent="0.25"/>
    <row r="99" s="63" customFormat="1" x14ac:dyDescent="0.25"/>
    <row r="100" s="63" customFormat="1" x14ac:dyDescent="0.25"/>
    <row r="101" s="63" customFormat="1" x14ac:dyDescent="0.25"/>
    <row r="102" s="63" customFormat="1" x14ac:dyDescent="0.25"/>
    <row r="103" s="63" customFormat="1" x14ac:dyDescent="0.25"/>
    <row r="104" s="63" customFormat="1" x14ac:dyDescent="0.25"/>
    <row r="105" s="63" customFormat="1" x14ac:dyDescent="0.25"/>
    <row r="106" s="63" customFormat="1" x14ac:dyDescent="0.25"/>
    <row r="107" s="63" customFormat="1" x14ac:dyDescent="0.25"/>
    <row r="108" s="63" customFormat="1" x14ac:dyDescent="0.25"/>
    <row r="109" s="63" customFormat="1" x14ac:dyDescent="0.25"/>
    <row r="110" s="63" customFormat="1" x14ac:dyDescent="0.25"/>
    <row r="111" s="63" customFormat="1" x14ac:dyDescent="0.25"/>
    <row r="112" s="63" customFormat="1" x14ac:dyDescent="0.25"/>
    <row r="113" s="63" customFormat="1" x14ac:dyDescent="0.25"/>
    <row r="114" s="63" customFormat="1" x14ac:dyDescent="0.25"/>
    <row r="115" s="63" customFormat="1" x14ac:dyDescent="0.25"/>
    <row r="116" s="63" customFormat="1" x14ac:dyDescent="0.25"/>
    <row r="117" s="63" customFormat="1" x14ac:dyDescent="0.25"/>
    <row r="118" s="63" customFormat="1" x14ac:dyDescent="0.25"/>
    <row r="119" s="63" customFormat="1" x14ac:dyDescent="0.25"/>
    <row r="120" s="63" customFormat="1" x14ac:dyDescent="0.25"/>
    <row r="121" s="63" customFormat="1" x14ac:dyDescent="0.25"/>
    <row r="122" s="63" customFormat="1" x14ac:dyDescent="0.25"/>
    <row r="123" s="63" customFormat="1" x14ac:dyDescent="0.25"/>
    <row r="124" s="63" customFormat="1" x14ac:dyDescent="0.25"/>
    <row r="125" s="63" customFormat="1" x14ac:dyDescent="0.25"/>
    <row r="126" s="63" customFormat="1" x14ac:dyDescent="0.25"/>
    <row r="127" s="63" customFormat="1" x14ac:dyDescent="0.25"/>
    <row r="128" s="63" customFormat="1" x14ac:dyDescent="0.25"/>
  </sheetData>
  <mergeCells count="17">
    <mergeCell ref="A21:L21"/>
    <mergeCell ref="A8:L8"/>
    <mergeCell ref="A9:L9"/>
    <mergeCell ref="A10:L10"/>
    <mergeCell ref="A11:L11"/>
    <mergeCell ref="A12:L12"/>
    <mergeCell ref="A13:L13"/>
    <mergeCell ref="A14:L14"/>
    <mergeCell ref="A15:L15"/>
    <mergeCell ref="A18:L18"/>
    <mergeCell ref="A19:L19"/>
    <mergeCell ref="A20:L20"/>
    <mergeCell ref="A27:L27"/>
    <mergeCell ref="A28:L28"/>
    <mergeCell ref="A29:L29"/>
    <mergeCell ref="A30:L30"/>
    <mergeCell ref="A31:L31"/>
  </mergeCells>
  <hyperlinks>
    <hyperlink ref="A14:L14" r:id="rId1" display="●  Organisations that generate renewable energy or purchase green energy should refer to Defra's  'Environmental reporting guidelines' for information on how to account for their electricity usage" xr:uid="{B3471F91-1819-4501-ADFA-88532EB2E35F}"/>
    <hyperlink ref="A3" location="Index!A1" display="Index" xr:uid="{F367F9FD-E120-4962-AAD0-70808E856CB8}"/>
  </hyperlinks>
  <pageMargins left="0.7" right="0.7" top="0.75" bottom="0.75" header="0.3" footer="0.3"/>
  <pageSetup paperSize="9" scale="60" fitToHeight="0" orientation="landscape" r:id="rId2"/>
  <headerFooter alignWithMargins="0"/>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DF25-EBF5-4116-93C5-D1A5AC0367CD}">
  <sheetPr>
    <tabColor theme="4" tint="0.39997558519241921"/>
    <pageSetUpPr fitToPage="1"/>
  </sheetPr>
  <dimension ref="A1:R129"/>
  <sheetViews>
    <sheetView topLeftCell="A16" zoomScaleNormal="100" workbookViewId="0">
      <selection activeCell="E25" sqref="E25"/>
    </sheetView>
  </sheetViews>
  <sheetFormatPr defaultColWidth="11.28515625" defaultRowHeight="15" x14ac:dyDescent="0.25"/>
  <cols>
    <col min="1" max="1" width="20.7109375" style="79" customWidth="1"/>
    <col min="2" max="2" width="14.42578125" style="79" customWidth="1"/>
    <col min="3" max="3" width="11" style="79" customWidth="1"/>
    <col min="4" max="4" width="10.5703125" style="79" customWidth="1"/>
    <col min="5" max="5" width="11.5703125" style="79" bestFit="1" customWidth="1"/>
    <col min="6" max="6" width="20.7109375" style="79" bestFit="1" customWidth="1"/>
    <col min="7" max="7" width="20.5703125" style="79" bestFit="1" customWidth="1"/>
    <col min="8" max="8" width="21" style="79" bestFit="1" customWidth="1"/>
    <col min="9" max="11" width="11.28515625" style="79"/>
    <col min="12" max="12" width="14.28515625" style="79" customWidth="1"/>
    <col min="13" max="18" width="11.28515625" style="79"/>
    <col min="19" max="16384" width="11.28515625" style="63"/>
  </cols>
  <sheetData>
    <row r="1" spans="1:18" s="14" customFormat="1" ht="11.25" x14ac:dyDescent="0.2">
      <c r="A1" s="14" t="s">
        <v>58</v>
      </c>
    </row>
    <row r="2" spans="1:18" ht="21" x14ac:dyDescent="0.35">
      <c r="A2" s="15" t="s">
        <v>136</v>
      </c>
      <c r="B2" s="15"/>
      <c r="C2" s="15"/>
      <c r="D2" s="15"/>
      <c r="E2" s="15"/>
      <c r="F2" s="15"/>
      <c r="G2" s="63"/>
      <c r="H2" s="63"/>
      <c r="I2" s="63"/>
      <c r="J2" s="63"/>
      <c r="K2" s="63"/>
      <c r="L2" s="63"/>
      <c r="M2" s="63"/>
      <c r="N2" s="63"/>
      <c r="O2" s="63"/>
      <c r="P2" s="63"/>
      <c r="Q2" s="63"/>
      <c r="R2" s="63"/>
    </row>
    <row r="3" spans="1:18" x14ac:dyDescent="0.25">
      <c r="A3" s="18" t="s">
        <v>60</v>
      </c>
      <c r="B3" s="63"/>
      <c r="C3" s="63"/>
      <c r="D3" s="63"/>
      <c r="E3" s="63"/>
      <c r="F3" s="63"/>
      <c r="G3" s="63"/>
      <c r="H3" s="63"/>
      <c r="I3" s="63"/>
      <c r="J3" s="63"/>
      <c r="K3" s="63"/>
      <c r="L3" s="63"/>
      <c r="M3" s="63"/>
      <c r="N3" s="63"/>
      <c r="O3" s="63"/>
      <c r="P3" s="63"/>
      <c r="Q3" s="63"/>
      <c r="R3" s="63"/>
    </row>
    <row r="4" spans="1:18" s="64" customFormat="1" ht="7.5" thickBot="1" x14ac:dyDescent="0.2"/>
    <row r="5" spans="1:18" ht="41.25" thickTop="1" x14ac:dyDescent="0.25">
      <c r="A5" s="22" t="s">
        <v>61</v>
      </c>
      <c r="B5" s="23" t="s">
        <v>136</v>
      </c>
      <c r="C5" s="22" t="s">
        <v>62</v>
      </c>
      <c r="D5" s="24">
        <v>45818</v>
      </c>
      <c r="E5" s="25" t="s">
        <v>63</v>
      </c>
      <c r="F5" s="24" t="s">
        <v>64</v>
      </c>
      <c r="G5" s="63"/>
      <c r="H5" s="63"/>
      <c r="I5" s="63"/>
      <c r="J5" s="63"/>
      <c r="K5" s="63"/>
      <c r="L5" s="63"/>
      <c r="M5" s="63"/>
      <c r="N5" s="63"/>
      <c r="O5" s="63"/>
      <c r="P5" s="63"/>
      <c r="Q5" s="63"/>
      <c r="R5" s="63"/>
    </row>
    <row r="6" spans="1:18" ht="15.75" thickBot="1" x14ac:dyDescent="0.3">
      <c r="A6" s="26" t="s">
        <v>65</v>
      </c>
      <c r="B6" s="27" t="s">
        <v>137</v>
      </c>
      <c r="C6" s="28" t="s">
        <v>67</v>
      </c>
      <c r="D6" s="29">
        <v>1.1000000000000001</v>
      </c>
      <c r="E6" s="28" t="s">
        <v>68</v>
      </c>
      <c r="F6" s="30">
        <v>2024</v>
      </c>
      <c r="G6" s="63"/>
      <c r="H6" s="63"/>
      <c r="I6" s="63"/>
      <c r="J6" s="63"/>
      <c r="K6" s="63"/>
      <c r="L6" s="63"/>
      <c r="M6" s="63"/>
      <c r="N6" s="63"/>
      <c r="O6" s="63"/>
      <c r="P6" s="63"/>
      <c r="Q6" s="63"/>
      <c r="R6" s="63"/>
    </row>
    <row r="7" spans="1:18" ht="16.5" thickTop="1" thickBot="1" x14ac:dyDescent="0.3">
      <c r="A7" s="63"/>
      <c r="B7" s="63"/>
      <c r="C7" s="63"/>
      <c r="D7" s="63"/>
      <c r="E7" s="63"/>
      <c r="F7" s="63"/>
      <c r="G7" s="63"/>
      <c r="H7" s="63"/>
      <c r="I7" s="63"/>
      <c r="J7" s="63"/>
      <c r="K7" s="63"/>
      <c r="L7" s="63"/>
      <c r="M7" s="63"/>
      <c r="N7" s="63"/>
      <c r="O7" s="63"/>
      <c r="P7" s="63"/>
      <c r="Q7" s="63"/>
      <c r="R7" s="63"/>
    </row>
    <row r="8" spans="1:18" ht="50.25" customHeight="1" thickTop="1" thickBot="1" x14ac:dyDescent="0.3">
      <c r="A8" s="143" t="s">
        <v>138</v>
      </c>
      <c r="B8" s="144"/>
      <c r="C8" s="144"/>
      <c r="D8" s="144"/>
      <c r="E8" s="144"/>
      <c r="F8" s="144"/>
      <c r="G8" s="144"/>
      <c r="H8" s="144"/>
      <c r="I8" s="144"/>
      <c r="J8" s="144"/>
      <c r="K8" s="144"/>
      <c r="L8" s="145"/>
      <c r="M8" s="63"/>
      <c r="N8" s="63"/>
      <c r="O8" s="63"/>
      <c r="P8" s="63"/>
      <c r="Q8" s="63"/>
      <c r="R8" s="63"/>
    </row>
    <row r="9" spans="1:18" ht="15.75" thickTop="1" x14ac:dyDescent="0.25">
      <c r="A9" s="140"/>
      <c r="B9" s="141"/>
      <c r="C9" s="141"/>
      <c r="D9" s="141"/>
      <c r="E9" s="141"/>
      <c r="F9" s="141"/>
      <c r="G9" s="141"/>
      <c r="H9" s="141"/>
      <c r="I9" s="141"/>
      <c r="J9" s="141"/>
      <c r="K9" s="141"/>
      <c r="L9" s="141"/>
      <c r="M9" s="63"/>
      <c r="N9" s="63"/>
      <c r="O9" s="63"/>
      <c r="P9" s="63"/>
      <c r="Q9" s="63"/>
      <c r="R9" s="63"/>
    </row>
    <row r="10" spans="1:18" ht="15.75" x14ac:dyDescent="0.25">
      <c r="A10" s="138" t="s">
        <v>70</v>
      </c>
      <c r="B10" s="138"/>
      <c r="C10" s="138"/>
      <c r="D10" s="138"/>
      <c r="E10" s="138"/>
      <c r="F10" s="138"/>
      <c r="G10" s="138"/>
      <c r="H10" s="138"/>
      <c r="I10" s="138"/>
      <c r="J10" s="138"/>
      <c r="K10" s="138"/>
      <c r="L10" s="138"/>
      <c r="M10" s="63"/>
      <c r="N10" s="63"/>
      <c r="O10" s="63"/>
      <c r="P10" s="63"/>
      <c r="Q10" s="63"/>
      <c r="R10" s="63"/>
    </row>
    <row r="11" spans="1:18" ht="24" customHeight="1" x14ac:dyDescent="0.25">
      <c r="A11" s="140" t="s">
        <v>139</v>
      </c>
      <c r="B11" s="140"/>
      <c r="C11" s="140"/>
      <c r="D11" s="140"/>
      <c r="E11" s="140"/>
      <c r="F11" s="140"/>
      <c r="G11" s="140"/>
      <c r="H11" s="140"/>
      <c r="I11" s="140"/>
      <c r="J11" s="140"/>
      <c r="K11" s="140"/>
      <c r="L11" s="140"/>
      <c r="M11" s="63"/>
      <c r="N11" s="63"/>
      <c r="O11" s="63"/>
      <c r="P11" s="63"/>
      <c r="Q11" s="63"/>
      <c r="R11" s="63"/>
    </row>
    <row r="12" spans="1:18" ht="95.1" customHeight="1" x14ac:dyDescent="0.25">
      <c r="A12" s="141" t="s">
        <v>140</v>
      </c>
      <c r="B12" s="141"/>
      <c r="C12" s="141"/>
      <c r="D12" s="141"/>
      <c r="E12" s="141"/>
      <c r="F12" s="141"/>
      <c r="G12" s="141"/>
      <c r="H12" s="141"/>
      <c r="I12" s="141"/>
      <c r="J12" s="141"/>
      <c r="K12" s="141"/>
      <c r="L12" s="141"/>
      <c r="M12" s="66"/>
      <c r="N12" s="63"/>
      <c r="O12" s="63"/>
      <c r="P12" s="63"/>
      <c r="Q12" s="63"/>
      <c r="R12" s="63"/>
    </row>
    <row r="13" spans="1:18" ht="38.1" customHeight="1" x14ac:dyDescent="0.25">
      <c r="A13" s="140" t="s">
        <v>141</v>
      </c>
      <c r="B13" s="140"/>
      <c r="C13" s="140"/>
      <c r="D13" s="140"/>
      <c r="E13" s="140"/>
      <c r="F13" s="140"/>
      <c r="G13" s="140"/>
      <c r="H13" s="140"/>
      <c r="I13" s="140"/>
      <c r="J13" s="140"/>
      <c r="K13" s="140"/>
      <c r="L13" s="140"/>
      <c r="M13" s="63"/>
      <c r="N13" s="63"/>
      <c r="O13" s="63"/>
      <c r="P13" s="63"/>
      <c r="Q13" s="63"/>
      <c r="R13" s="63"/>
    </row>
    <row r="14" spans="1:18" ht="35.1" customHeight="1" x14ac:dyDescent="0.25">
      <c r="A14" s="141" t="s">
        <v>142</v>
      </c>
      <c r="B14" s="141"/>
      <c r="C14" s="141"/>
      <c r="D14" s="141"/>
      <c r="E14" s="141"/>
      <c r="F14" s="141"/>
      <c r="G14" s="141"/>
      <c r="H14" s="141"/>
      <c r="I14" s="141"/>
      <c r="J14" s="141"/>
      <c r="K14" s="141"/>
      <c r="L14" s="141"/>
      <c r="M14" s="63"/>
      <c r="N14" s="63"/>
      <c r="O14" s="63"/>
      <c r="P14" s="63"/>
      <c r="Q14" s="63"/>
      <c r="R14" s="63"/>
    </row>
    <row r="15" spans="1:18" ht="43.35" customHeight="1" x14ac:dyDescent="0.25">
      <c r="A15" s="140" t="s">
        <v>143</v>
      </c>
      <c r="B15" s="140"/>
      <c r="C15" s="140"/>
      <c r="D15" s="140"/>
      <c r="E15" s="140"/>
      <c r="F15" s="140"/>
      <c r="G15" s="140"/>
      <c r="H15" s="140"/>
      <c r="I15" s="140"/>
      <c r="J15" s="140"/>
      <c r="K15" s="140"/>
      <c r="L15" s="140"/>
      <c r="M15" s="63"/>
      <c r="N15" s="63"/>
      <c r="O15" s="63"/>
      <c r="P15" s="63"/>
      <c r="Q15" s="63"/>
      <c r="R15" s="63"/>
    </row>
    <row r="16" spans="1:18" ht="43.35" customHeight="1" x14ac:dyDescent="0.25">
      <c r="A16" s="105" t="s">
        <v>161</v>
      </c>
      <c r="B16" s="105"/>
      <c r="C16" s="105"/>
      <c r="D16" s="105"/>
      <c r="E16" s="105"/>
      <c r="F16" s="105"/>
      <c r="G16" s="105"/>
      <c r="H16" s="105"/>
      <c r="I16" s="105"/>
      <c r="J16" s="105"/>
      <c r="K16" s="105"/>
      <c r="L16" s="105"/>
      <c r="M16" s="63"/>
      <c r="N16" s="63"/>
      <c r="O16" s="63"/>
      <c r="P16" s="63"/>
      <c r="Q16" s="63"/>
      <c r="R16" s="63"/>
    </row>
    <row r="17" spans="1:18" ht="10.5" customHeight="1" x14ac:dyDescent="0.25">
      <c r="A17" s="65"/>
      <c r="B17" s="65"/>
      <c r="C17" s="65"/>
      <c r="D17" s="65"/>
      <c r="E17" s="65"/>
      <c r="F17" s="65"/>
      <c r="G17" s="65"/>
      <c r="H17" s="65"/>
      <c r="I17" s="65"/>
      <c r="J17" s="65"/>
      <c r="K17" s="65"/>
      <c r="L17" s="65"/>
      <c r="M17" s="63"/>
      <c r="N17" s="63"/>
      <c r="O17" s="63"/>
      <c r="P17" s="63"/>
      <c r="Q17" s="63"/>
      <c r="R17" s="63"/>
    </row>
    <row r="18" spans="1:18" ht="15.75" x14ac:dyDescent="0.25">
      <c r="A18" s="67" t="s">
        <v>144</v>
      </c>
      <c r="B18" s="68"/>
      <c r="C18" s="68"/>
      <c r="D18" s="68"/>
      <c r="E18" s="68"/>
      <c r="F18" s="68"/>
      <c r="G18" s="68"/>
      <c r="H18" s="68"/>
      <c r="I18" s="68"/>
      <c r="J18" s="68"/>
      <c r="K18" s="68"/>
      <c r="L18" s="68"/>
      <c r="M18" s="63"/>
      <c r="N18" s="63"/>
      <c r="O18" s="63"/>
      <c r="P18" s="63"/>
      <c r="Q18" s="63"/>
      <c r="R18" s="63"/>
    </row>
    <row r="19" spans="1:18" s="70" customFormat="1" ht="191.25" customHeight="1" x14ac:dyDescent="0.25">
      <c r="A19" s="142" t="s">
        <v>162</v>
      </c>
      <c r="B19" s="142"/>
      <c r="C19" s="142"/>
      <c r="D19" s="142"/>
      <c r="E19" s="142"/>
      <c r="F19" s="142"/>
      <c r="G19" s="142"/>
      <c r="H19" s="142"/>
      <c r="I19" s="142"/>
      <c r="J19" s="142"/>
      <c r="K19" s="142"/>
      <c r="L19" s="142"/>
    </row>
    <row r="20" spans="1:18" ht="19.350000000000001" customHeight="1" x14ac:dyDescent="0.25">
      <c r="A20" s="138" t="s">
        <v>146</v>
      </c>
      <c r="B20" s="138"/>
      <c r="C20" s="138"/>
      <c r="D20" s="138"/>
      <c r="E20" s="138"/>
      <c r="F20" s="138"/>
      <c r="G20" s="138"/>
      <c r="H20" s="138"/>
      <c r="I20" s="138"/>
      <c r="J20" s="138"/>
      <c r="K20" s="138"/>
      <c r="L20" s="138"/>
      <c r="M20" s="63"/>
      <c r="N20" s="63"/>
      <c r="O20" s="63"/>
      <c r="P20" s="63"/>
      <c r="Q20" s="63"/>
      <c r="R20" s="63"/>
    </row>
    <row r="21" spans="1:18" ht="18.75" customHeight="1" x14ac:dyDescent="0.25">
      <c r="A21" s="140" t="s">
        <v>147</v>
      </c>
      <c r="B21" s="140"/>
      <c r="C21" s="140"/>
      <c r="D21" s="140"/>
      <c r="E21" s="140"/>
      <c r="F21" s="140"/>
      <c r="G21" s="140"/>
      <c r="H21" s="140"/>
      <c r="I21" s="140"/>
      <c r="J21" s="140"/>
      <c r="K21" s="140"/>
      <c r="L21" s="140"/>
      <c r="M21" s="63"/>
      <c r="N21" s="63"/>
      <c r="O21" s="63"/>
      <c r="P21" s="63"/>
      <c r="Q21" s="63"/>
      <c r="R21" s="63"/>
    </row>
    <row r="22" spans="1:18" ht="24" customHeight="1" x14ac:dyDescent="0.25">
      <c r="A22" s="140" t="s">
        <v>148</v>
      </c>
      <c r="B22" s="140"/>
      <c r="C22" s="140"/>
      <c r="D22" s="140"/>
      <c r="E22" s="140"/>
      <c r="F22" s="140"/>
      <c r="G22" s="140"/>
      <c r="H22" s="140"/>
      <c r="I22" s="140"/>
      <c r="J22" s="140"/>
      <c r="K22" s="140"/>
      <c r="L22" s="140"/>
      <c r="M22" s="63"/>
      <c r="N22" s="63"/>
      <c r="O22" s="63"/>
      <c r="P22" s="63"/>
      <c r="Q22" s="63"/>
      <c r="R22" s="63"/>
    </row>
    <row r="23" spans="1:18" s="44" customFormat="1" ht="26.25" customHeight="1" x14ac:dyDescent="0.25">
      <c r="A23" s="69"/>
      <c r="B23" s="69"/>
      <c r="C23" s="69"/>
      <c r="D23" s="69"/>
      <c r="E23" s="69"/>
      <c r="F23" s="69"/>
      <c r="G23" s="69"/>
      <c r="H23" s="69"/>
      <c r="I23" s="69"/>
      <c r="J23" s="69"/>
      <c r="K23" s="69"/>
      <c r="L23" s="69"/>
    </row>
    <row r="24" spans="1:18" s="44" customFormat="1" ht="18" x14ac:dyDescent="0.35">
      <c r="A24" s="71" t="s">
        <v>81</v>
      </c>
      <c r="B24" s="35" t="s">
        <v>149</v>
      </c>
      <c r="C24" s="35" t="s">
        <v>83</v>
      </c>
      <c r="D24" s="36" t="s">
        <v>150</v>
      </c>
      <c r="E24" s="36" t="s">
        <v>84</v>
      </c>
      <c r="F24" s="36" t="s">
        <v>85</v>
      </c>
      <c r="G24" s="36" t="s">
        <v>86</v>
      </c>
      <c r="H24" s="36" t="s">
        <v>87</v>
      </c>
    </row>
    <row r="25" spans="1:18" s="44" customFormat="1" x14ac:dyDescent="0.25">
      <c r="A25" s="72" t="s">
        <v>151</v>
      </c>
      <c r="B25" s="36" t="s">
        <v>152</v>
      </c>
      <c r="C25" s="36" t="s">
        <v>153</v>
      </c>
      <c r="D25" s="73">
        <v>2024</v>
      </c>
      <c r="E25" s="94">
        <v>0.20705000000000001</v>
      </c>
      <c r="F25" s="80">
        <v>0.20493</v>
      </c>
      <c r="G25" s="80">
        <v>8.9999999999999998E-4</v>
      </c>
      <c r="H25" s="80">
        <v>1.2199999999999999E-3</v>
      </c>
      <c r="M25" s="75"/>
    </row>
    <row r="26" spans="1:18" s="44" customFormat="1" x14ac:dyDescent="0.25">
      <c r="A26" s="69"/>
      <c r="B26" s="70"/>
      <c r="C26" s="70"/>
      <c r="D26" s="70"/>
      <c r="E26" s="70"/>
      <c r="F26" s="70"/>
      <c r="G26" s="70"/>
      <c r="H26" s="70"/>
      <c r="I26" s="70"/>
      <c r="J26" s="70"/>
      <c r="K26" s="70"/>
      <c r="L26" s="70"/>
    </row>
    <row r="27" spans="1:18" s="44" customFormat="1" x14ac:dyDescent="0.25">
      <c r="A27" s="69"/>
      <c r="B27" s="70"/>
      <c r="C27" s="70"/>
      <c r="D27" s="70"/>
      <c r="E27" s="70"/>
      <c r="F27" s="70"/>
      <c r="G27" s="70"/>
      <c r="H27" s="70"/>
      <c r="I27" s="70"/>
      <c r="J27" s="70"/>
      <c r="K27" s="70"/>
      <c r="L27" s="70"/>
    </row>
    <row r="28" spans="1:18" s="76" customFormat="1" ht="15.75" x14ac:dyDescent="0.25">
      <c r="A28" s="138" t="s">
        <v>128</v>
      </c>
      <c r="B28" s="138"/>
      <c r="C28" s="138"/>
      <c r="D28" s="138"/>
      <c r="E28" s="138"/>
      <c r="F28" s="138"/>
      <c r="G28" s="138"/>
      <c r="H28" s="138"/>
      <c r="I28" s="138"/>
      <c r="J28" s="138"/>
      <c r="K28" s="138"/>
      <c r="L28" s="138"/>
    </row>
    <row r="29" spans="1:18" s="77" customFormat="1" ht="18" customHeight="1" x14ac:dyDescent="0.25">
      <c r="A29" s="139" t="s">
        <v>154</v>
      </c>
      <c r="B29" s="139"/>
      <c r="C29" s="139"/>
      <c r="D29" s="139"/>
      <c r="E29" s="139"/>
      <c r="F29" s="139"/>
      <c r="G29" s="139"/>
      <c r="H29" s="139"/>
      <c r="I29" s="139"/>
      <c r="J29" s="139"/>
      <c r="K29" s="139"/>
      <c r="L29" s="139"/>
    </row>
    <row r="30" spans="1:18" s="78" customFormat="1" ht="54" customHeight="1" x14ac:dyDescent="0.25">
      <c r="A30" s="140" t="s">
        <v>155</v>
      </c>
      <c r="B30" s="140"/>
      <c r="C30" s="140"/>
      <c r="D30" s="140"/>
      <c r="E30" s="140"/>
      <c r="F30" s="140"/>
      <c r="G30" s="140"/>
      <c r="H30" s="140"/>
      <c r="I30" s="140"/>
      <c r="J30" s="140"/>
      <c r="K30" s="140"/>
      <c r="L30" s="140"/>
    </row>
    <row r="31" spans="1:18" s="77" customFormat="1" ht="23.25" customHeight="1" x14ac:dyDescent="0.25">
      <c r="A31" s="139" t="s">
        <v>156</v>
      </c>
      <c r="B31" s="139"/>
      <c r="C31" s="139"/>
      <c r="D31" s="139"/>
      <c r="E31" s="139"/>
      <c r="F31" s="139"/>
      <c r="G31" s="139"/>
      <c r="H31" s="139"/>
      <c r="I31" s="139"/>
      <c r="J31" s="139"/>
      <c r="K31" s="139"/>
      <c r="L31" s="139"/>
    </row>
    <row r="32" spans="1:18" s="78" customFormat="1" ht="35.25" customHeight="1" x14ac:dyDescent="0.25">
      <c r="A32" s="140" t="s">
        <v>157</v>
      </c>
      <c r="B32" s="140"/>
      <c r="C32" s="140"/>
      <c r="D32" s="140"/>
      <c r="E32" s="140"/>
      <c r="F32" s="140"/>
      <c r="G32" s="140"/>
      <c r="H32" s="140"/>
      <c r="I32" s="140"/>
      <c r="J32" s="140"/>
      <c r="K32" s="140"/>
      <c r="L32" s="140"/>
    </row>
    <row r="33" spans="1:18" x14ac:dyDescent="0.25">
      <c r="A33" s="62" t="s">
        <v>135</v>
      </c>
      <c r="B33" s="62"/>
      <c r="C33" s="62"/>
      <c r="D33" s="62"/>
      <c r="E33" s="62"/>
      <c r="F33" s="62"/>
      <c r="G33" s="62"/>
      <c r="H33" s="62"/>
      <c r="I33" s="62"/>
      <c r="J33" s="62"/>
      <c r="K33" s="62"/>
      <c r="L33" s="62"/>
      <c r="M33" s="63"/>
      <c r="N33" s="63"/>
      <c r="O33" s="63"/>
      <c r="P33" s="63"/>
      <c r="Q33" s="63"/>
      <c r="R33" s="63"/>
    </row>
    <row r="34" spans="1:18" x14ac:dyDescent="0.25">
      <c r="A34" s="63"/>
      <c r="B34" s="63"/>
      <c r="C34" s="63"/>
      <c r="D34" s="63"/>
      <c r="E34" s="63"/>
      <c r="F34" s="63"/>
      <c r="G34" s="63"/>
      <c r="H34" s="63"/>
      <c r="I34" s="63"/>
      <c r="J34" s="63"/>
      <c r="K34" s="63"/>
      <c r="L34" s="63"/>
      <c r="M34" s="63"/>
      <c r="N34" s="63"/>
      <c r="O34" s="63"/>
      <c r="P34" s="63"/>
      <c r="Q34" s="63"/>
      <c r="R34" s="63"/>
    </row>
    <row r="35" spans="1:18" x14ac:dyDescent="0.25">
      <c r="A35" s="63"/>
      <c r="B35" s="63"/>
      <c r="C35" s="63"/>
      <c r="D35" s="63"/>
      <c r="E35" s="63"/>
      <c r="F35" s="63"/>
      <c r="G35" s="63"/>
      <c r="H35" s="63"/>
      <c r="I35" s="63"/>
      <c r="J35" s="63"/>
      <c r="K35" s="63"/>
      <c r="L35" s="63"/>
      <c r="M35" s="63"/>
      <c r="N35" s="63"/>
      <c r="O35" s="63"/>
      <c r="P35" s="63"/>
      <c r="Q35" s="63"/>
      <c r="R35" s="63"/>
    </row>
    <row r="36" spans="1:18" x14ac:dyDescent="0.25">
      <c r="A36" s="63"/>
      <c r="B36" s="63"/>
      <c r="C36" s="63"/>
      <c r="D36" s="63"/>
      <c r="E36" s="63"/>
      <c r="F36" s="63"/>
      <c r="G36" s="63"/>
      <c r="H36" s="63"/>
      <c r="I36" s="63"/>
      <c r="J36" s="63"/>
      <c r="K36" s="63"/>
      <c r="L36" s="63"/>
      <c r="M36" s="63"/>
      <c r="N36" s="63"/>
      <c r="O36" s="63"/>
      <c r="P36" s="63"/>
      <c r="Q36" s="63"/>
      <c r="R36" s="63"/>
    </row>
    <row r="37" spans="1:18" x14ac:dyDescent="0.25">
      <c r="A37" s="63"/>
      <c r="B37" s="63"/>
      <c r="C37" s="63"/>
      <c r="D37" s="63"/>
      <c r="E37" s="63"/>
      <c r="F37" s="63"/>
      <c r="G37" s="63"/>
      <c r="H37" s="63"/>
      <c r="I37" s="63"/>
      <c r="J37" s="63"/>
      <c r="K37" s="63"/>
      <c r="L37" s="63"/>
      <c r="M37" s="63"/>
      <c r="N37" s="63"/>
      <c r="O37" s="63"/>
      <c r="P37" s="63"/>
      <c r="Q37" s="63"/>
      <c r="R37" s="63"/>
    </row>
    <row r="38" spans="1:18" x14ac:dyDescent="0.25">
      <c r="A38" s="63"/>
      <c r="B38" s="63"/>
      <c r="C38" s="63"/>
      <c r="D38" s="63"/>
      <c r="E38" s="63"/>
      <c r="F38" s="63"/>
      <c r="G38" s="63"/>
      <c r="H38" s="63"/>
      <c r="I38" s="63"/>
      <c r="J38" s="63"/>
      <c r="K38" s="63"/>
      <c r="L38" s="63"/>
      <c r="M38" s="63"/>
      <c r="N38" s="63"/>
      <c r="O38" s="63"/>
      <c r="P38" s="63"/>
      <c r="Q38" s="63"/>
      <c r="R38" s="63"/>
    </row>
    <row r="39" spans="1:18" x14ac:dyDescent="0.25">
      <c r="A39" s="63"/>
      <c r="B39" s="63"/>
      <c r="C39" s="63"/>
      <c r="D39" s="63"/>
      <c r="E39" s="63"/>
      <c r="F39" s="63"/>
      <c r="G39" s="63"/>
      <c r="H39" s="63"/>
      <c r="I39" s="63"/>
      <c r="J39" s="63"/>
      <c r="K39" s="63"/>
      <c r="L39" s="63"/>
      <c r="M39" s="63"/>
      <c r="N39" s="63"/>
      <c r="O39" s="63"/>
      <c r="P39" s="63"/>
      <c r="Q39" s="63"/>
      <c r="R39" s="63"/>
    </row>
    <row r="40" spans="1:18" x14ac:dyDescent="0.25">
      <c r="A40" s="63"/>
      <c r="B40" s="63"/>
      <c r="C40" s="63"/>
      <c r="D40" s="63"/>
      <c r="E40" s="63"/>
      <c r="F40" s="63"/>
      <c r="G40" s="63"/>
      <c r="H40" s="63"/>
      <c r="I40" s="63"/>
      <c r="J40" s="63"/>
      <c r="K40" s="63"/>
      <c r="L40" s="63"/>
      <c r="M40" s="63"/>
      <c r="N40" s="63"/>
      <c r="O40" s="63"/>
      <c r="P40" s="63"/>
      <c r="Q40" s="63"/>
      <c r="R40" s="63"/>
    </row>
    <row r="41" spans="1:18" x14ac:dyDescent="0.25">
      <c r="A41" s="63"/>
      <c r="B41" s="63"/>
      <c r="C41" s="63"/>
      <c r="D41" s="63"/>
      <c r="E41" s="63"/>
      <c r="F41" s="63"/>
      <c r="G41" s="63"/>
      <c r="H41" s="63"/>
      <c r="I41" s="63"/>
      <c r="J41" s="63"/>
      <c r="K41" s="63"/>
      <c r="L41" s="63"/>
      <c r="M41" s="63"/>
      <c r="N41" s="63"/>
      <c r="O41" s="63"/>
      <c r="P41" s="63"/>
      <c r="Q41" s="63"/>
      <c r="R41" s="63"/>
    </row>
    <row r="42" spans="1:18" x14ac:dyDescent="0.25">
      <c r="A42" s="63"/>
      <c r="B42" s="63"/>
      <c r="C42" s="63"/>
      <c r="D42" s="63"/>
      <c r="E42" s="63"/>
      <c r="F42" s="63"/>
      <c r="G42" s="63"/>
      <c r="H42" s="63"/>
      <c r="I42" s="63"/>
      <c r="J42" s="63"/>
      <c r="K42" s="63"/>
      <c r="L42" s="63"/>
      <c r="M42" s="63"/>
      <c r="N42" s="63"/>
      <c r="O42" s="63"/>
      <c r="P42" s="63"/>
      <c r="Q42" s="63"/>
      <c r="R42" s="63"/>
    </row>
    <row r="43" spans="1:18" x14ac:dyDescent="0.25">
      <c r="A43" s="63"/>
      <c r="B43" s="63"/>
      <c r="C43" s="63"/>
      <c r="D43" s="63"/>
      <c r="E43" s="63"/>
      <c r="F43" s="63"/>
      <c r="G43" s="63"/>
      <c r="H43" s="63"/>
      <c r="I43" s="63"/>
      <c r="J43" s="63"/>
      <c r="K43" s="63"/>
      <c r="L43" s="63"/>
      <c r="M43" s="63"/>
      <c r="N43" s="63"/>
      <c r="O43" s="63"/>
      <c r="P43" s="63"/>
      <c r="Q43" s="63"/>
      <c r="R43" s="63"/>
    </row>
    <row r="44" spans="1:18" x14ac:dyDescent="0.25">
      <c r="A44" s="63"/>
      <c r="B44" s="63"/>
      <c r="C44" s="63"/>
      <c r="D44" s="63"/>
      <c r="E44" s="63"/>
      <c r="F44" s="63"/>
      <c r="G44" s="63"/>
      <c r="H44" s="63"/>
      <c r="I44" s="63"/>
      <c r="J44" s="63"/>
      <c r="K44" s="63"/>
      <c r="L44" s="63"/>
      <c r="M44" s="63"/>
      <c r="N44" s="63"/>
      <c r="O44" s="63"/>
      <c r="P44" s="63"/>
      <c r="Q44" s="63"/>
      <c r="R44" s="63"/>
    </row>
    <row r="45" spans="1:18" x14ac:dyDescent="0.25">
      <c r="A45" s="63"/>
      <c r="B45" s="63"/>
      <c r="C45" s="63"/>
      <c r="D45" s="63"/>
      <c r="E45" s="63"/>
      <c r="F45" s="63"/>
      <c r="G45" s="63"/>
      <c r="H45" s="63"/>
      <c r="I45" s="63"/>
      <c r="J45" s="63"/>
      <c r="K45" s="63"/>
      <c r="L45" s="63"/>
      <c r="M45" s="63"/>
      <c r="N45" s="63"/>
      <c r="O45" s="63"/>
      <c r="P45" s="63"/>
      <c r="Q45" s="63"/>
      <c r="R45" s="63"/>
    </row>
    <row r="46" spans="1:18" x14ac:dyDescent="0.25">
      <c r="A46" s="63"/>
      <c r="B46" s="63"/>
      <c r="C46" s="63"/>
      <c r="D46" s="63"/>
      <c r="E46" s="63"/>
      <c r="F46" s="63"/>
      <c r="G46" s="63"/>
      <c r="H46" s="63"/>
      <c r="I46" s="63"/>
      <c r="J46" s="63"/>
      <c r="K46" s="63"/>
      <c r="L46" s="63"/>
      <c r="M46" s="63"/>
      <c r="N46" s="63"/>
      <c r="O46" s="63"/>
      <c r="P46" s="63"/>
      <c r="Q46" s="63"/>
      <c r="R46" s="63"/>
    </row>
    <row r="47" spans="1:18" x14ac:dyDescent="0.25">
      <c r="A47" s="63"/>
      <c r="B47" s="63"/>
      <c r="C47" s="63"/>
      <c r="D47" s="63"/>
      <c r="E47" s="63"/>
      <c r="F47" s="63"/>
      <c r="G47" s="63"/>
      <c r="H47" s="63"/>
      <c r="I47" s="63"/>
      <c r="J47" s="63"/>
      <c r="K47" s="63"/>
      <c r="L47" s="63"/>
      <c r="M47" s="63"/>
      <c r="N47" s="63"/>
      <c r="O47" s="63"/>
      <c r="P47" s="63"/>
      <c r="Q47" s="63"/>
      <c r="R47" s="63"/>
    </row>
    <row r="48" spans="1:18" x14ac:dyDescent="0.25">
      <c r="A48" s="63"/>
      <c r="B48" s="63"/>
      <c r="C48" s="63"/>
      <c r="D48" s="63"/>
      <c r="E48" s="63"/>
      <c r="F48" s="63"/>
      <c r="G48" s="63"/>
      <c r="H48" s="63"/>
      <c r="I48" s="63"/>
      <c r="J48" s="63"/>
      <c r="K48" s="63"/>
      <c r="L48" s="63"/>
      <c r="M48" s="63"/>
      <c r="N48" s="63"/>
      <c r="O48" s="63"/>
      <c r="P48" s="63"/>
      <c r="Q48" s="63"/>
      <c r="R48" s="63"/>
    </row>
    <row r="49" s="63" customFormat="1" x14ac:dyDescent="0.25"/>
    <row r="50" s="63" customFormat="1" x14ac:dyDescent="0.25"/>
    <row r="51" s="63" customFormat="1" x14ac:dyDescent="0.25"/>
    <row r="52" s="63" customFormat="1" x14ac:dyDescent="0.25"/>
    <row r="53" s="63" customFormat="1" x14ac:dyDescent="0.25"/>
    <row r="54" s="63" customFormat="1" x14ac:dyDescent="0.25"/>
    <row r="55" s="63" customFormat="1" x14ac:dyDescent="0.25"/>
    <row r="56" s="63" customFormat="1" x14ac:dyDescent="0.25"/>
    <row r="57" s="63" customFormat="1" x14ac:dyDescent="0.25"/>
    <row r="58" s="63" customFormat="1" x14ac:dyDescent="0.25"/>
    <row r="59" s="63" customFormat="1" x14ac:dyDescent="0.25"/>
    <row r="60" s="63" customFormat="1" x14ac:dyDescent="0.25"/>
    <row r="61" s="63" customFormat="1" x14ac:dyDescent="0.25"/>
    <row r="62" s="63" customFormat="1" x14ac:dyDescent="0.25"/>
    <row r="63" s="63" customFormat="1" x14ac:dyDescent="0.25"/>
    <row r="64" s="63" customFormat="1" x14ac:dyDescent="0.25"/>
    <row r="65" s="63" customFormat="1" x14ac:dyDescent="0.25"/>
    <row r="66" s="63" customFormat="1" x14ac:dyDescent="0.25"/>
    <row r="67" s="63" customFormat="1" x14ac:dyDescent="0.25"/>
    <row r="68" s="63" customFormat="1" x14ac:dyDescent="0.25"/>
    <row r="69" s="63" customFormat="1" x14ac:dyDescent="0.25"/>
    <row r="70" s="63" customFormat="1" x14ac:dyDescent="0.25"/>
    <row r="71" s="63" customFormat="1" x14ac:dyDescent="0.25"/>
    <row r="72" s="63" customFormat="1" x14ac:dyDescent="0.25"/>
    <row r="73" s="63" customFormat="1" x14ac:dyDescent="0.25"/>
    <row r="74" s="63" customFormat="1" x14ac:dyDescent="0.25"/>
    <row r="75" s="63" customFormat="1" x14ac:dyDescent="0.25"/>
    <row r="76" s="63" customFormat="1" x14ac:dyDescent="0.25"/>
    <row r="77" s="63" customFormat="1" x14ac:dyDescent="0.25"/>
    <row r="78" s="63" customFormat="1" x14ac:dyDescent="0.25"/>
    <row r="79" s="63" customFormat="1" x14ac:dyDescent="0.25"/>
    <row r="80" s="63" customFormat="1" x14ac:dyDescent="0.25"/>
    <row r="81" s="63" customFormat="1" x14ac:dyDescent="0.25"/>
    <row r="82" s="63" customFormat="1" x14ac:dyDescent="0.25"/>
    <row r="83" s="63" customFormat="1" x14ac:dyDescent="0.25"/>
    <row r="84" s="63" customFormat="1" x14ac:dyDescent="0.25"/>
    <row r="85" s="63" customFormat="1" x14ac:dyDescent="0.25"/>
    <row r="86" s="63" customFormat="1" x14ac:dyDescent="0.25"/>
    <row r="87" s="63" customFormat="1" x14ac:dyDescent="0.25"/>
    <row r="88" s="63" customFormat="1" x14ac:dyDescent="0.25"/>
    <row r="89" s="63" customFormat="1" x14ac:dyDescent="0.25"/>
    <row r="90" s="63" customFormat="1" x14ac:dyDescent="0.25"/>
    <row r="91" s="63" customFormat="1" x14ac:dyDescent="0.25"/>
    <row r="92" s="63" customFormat="1" x14ac:dyDescent="0.25"/>
    <row r="93" s="63" customFormat="1" x14ac:dyDescent="0.25"/>
    <row r="94" s="63" customFormat="1" x14ac:dyDescent="0.25"/>
    <row r="95" s="63" customFormat="1" x14ac:dyDescent="0.25"/>
    <row r="96" s="63" customFormat="1" x14ac:dyDescent="0.25"/>
    <row r="97" s="63" customFormat="1" x14ac:dyDescent="0.25"/>
    <row r="98" s="63" customFormat="1" x14ac:dyDescent="0.25"/>
    <row r="99" s="63" customFormat="1" x14ac:dyDescent="0.25"/>
    <row r="100" s="63" customFormat="1" x14ac:dyDescent="0.25"/>
    <row r="101" s="63" customFormat="1" x14ac:dyDescent="0.25"/>
    <row r="102" s="63" customFormat="1" x14ac:dyDescent="0.25"/>
    <row r="103" s="63" customFormat="1" x14ac:dyDescent="0.25"/>
    <row r="104" s="63" customFormat="1" x14ac:dyDescent="0.25"/>
    <row r="105" s="63" customFormat="1" x14ac:dyDescent="0.25"/>
    <row r="106" s="63" customFormat="1" x14ac:dyDescent="0.25"/>
    <row r="107" s="63" customFormat="1" x14ac:dyDescent="0.25"/>
    <row r="108" s="63" customFormat="1" x14ac:dyDescent="0.25"/>
    <row r="109" s="63" customFormat="1" x14ac:dyDescent="0.25"/>
    <row r="110" s="63" customFormat="1" x14ac:dyDescent="0.25"/>
    <row r="111" s="63" customFormat="1" x14ac:dyDescent="0.25"/>
    <row r="112" s="63" customFormat="1" x14ac:dyDescent="0.25"/>
    <row r="113" s="63" customFormat="1" x14ac:dyDescent="0.25"/>
    <row r="114" s="63" customFormat="1" x14ac:dyDescent="0.25"/>
    <row r="115" s="63" customFormat="1" x14ac:dyDescent="0.25"/>
    <row r="116" s="63" customFormat="1" x14ac:dyDescent="0.25"/>
    <row r="117" s="63" customFormat="1" x14ac:dyDescent="0.25"/>
    <row r="118" s="63" customFormat="1" x14ac:dyDescent="0.25"/>
    <row r="119" s="63" customFormat="1" x14ac:dyDescent="0.25"/>
    <row r="120" s="63" customFormat="1" x14ac:dyDescent="0.25"/>
    <row r="121" s="63" customFormat="1" x14ac:dyDescent="0.25"/>
    <row r="122" s="63" customFormat="1" x14ac:dyDescent="0.25"/>
    <row r="123" s="63" customFormat="1" x14ac:dyDescent="0.25"/>
    <row r="124" s="63" customFormat="1" x14ac:dyDescent="0.25"/>
    <row r="125" s="63" customFormat="1" x14ac:dyDescent="0.25"/>
    <row r="126" s="63" customFormat="1" x14ac:dyDescent="0.25"/>
    <row r="127" s="63" customFormat="1" x14ac:dyDescent="0.25"/>
    <row r="128" s="63" customFormat="1" x14ac:dyDescent="0.25"/>
    <row r="129" s="63" customFormat="1" x14ac:dyDescent="0.25"/>
  </sheetData>
  <mergeCells count="18">
    <mergeCell ref="A13:L13"/>
    <mergeCell ref="A8:L8"/>
    <mergeCell ref="A9:L9"/>
    <mergeCell ref="A10:L10"/>
    <mergeCell ref="A11:L11"/>
    <mergeCell ref="A12:L12"/>
    <mergeCell ref="A32:L32"/>
    <mergeCell ref="A14:L14"/>
    <mergeCell ref="A15:L15"/>
    <mergeCell ref="A16:L16"/>
    <mergeCell ref="A19:L19"/>
    <mergeCell ref="A20:L20"/>
    <mergeCell ref="A21:L21"/>
    <mergeCell ref="A22:L22"/>
    <mergeCell ref="A28:L28"/>
    <mergeCell ref="A29:L29"/>
    <mergeCell ref="A30:L30"/>
    <mergeCell ref="A31:L31"/>
  </mergeCells>
  <hyperlinks>
    <hyperlink ref="A14:L14" r:id="rId1" display="●  Organisations that generate renewable energy or purchase green energy should refer to Defra's  'Environmental reporting guidelines' for information on how to account for their electricity usage" xr:uid="{4AED0781-ACB3-447D-98F1-6AF54DBFE19D}"/>
    <hyperlink ref="A3" location="Index!A1" display="Index" xr:uid="{4531CA88-6B05-4E7A-A8AA-F466631677C0}"/>
  </hyperlinks>
  <pageMargins left="0.7" right="0.7" top="0.75" bottom="0.75" header="0.3" footer="0.3"/>
  <pageSetup paperSize="9" scale="60"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4C3A-1EA0-4999-A4DC-B1639AAA0EC7}">
  <sheetPr>
    <tabColor theme="4" tint="0.39997558519241921"/>
    <pageSetUpPr fitToPage="1"/>
  </sheetPr>
  <dimension ref="A1:R130"/>
  <sheetViews>
    <sheetView topLeftCell="A20" zoomScaleNormal="100" workbookViewId="0">
      <selection activeCell="E26" sqref="E26"/>
    </sheetView>
  </sheetViews>
  <sheetFormatPr defaultColWidth="11.140625" defaultRowHeight="15" x14ac:dyDescent="0.25"/>
  <cols>
    <col min="1" max="1" width="20.85546875" style="79" customWidth="1"/>
    <col min="2" max="2" width="14.42578125" style="79" customWidth="1"/>
    <col min="3" max="3" width="11" style="79" customWidth="1"/>
    <col min="4" max="4" width="10.5703125" style="79" customWidth="1"/>
    <col min="5" max="5" width="11.5703125" style="79" bestFit="1" customWidth="1"/>
    <col min="6" max="6" width="20.7109375" style="79" bestFit="1" customWidth="1"/>
    <col min="7" max="7" width="20.5703125" style="79" bestFit="1" customWidth="1"/>
    <col min="8" max="8" width="21" style="79" bestFit="1" customWidth="1"/>
    <col min="9" max="11" width="11.140625" style="79"/>
    <col min="12" max="12" width="14.140625" style="79" customWidth="1"/>
    <col min="13" max="18" width="11.140625" style="79"/>
    <col min="19" max="16384" width="11.140625" style="63"/>
  </cols>
  <sheetData>
    <row r="1" spans="1:18" s="14" customFormat="1" ht="11.25" x14ac:dyDescent="0.2">
      <c r="A1" s="14" t="s">
        <v>58</v>
      </c>
    </row>
    <row r="2" spans="1:18" ht="21" x14ac:dyDescent="0.35">
      <c r="A2" s="15" t="s">
        <v>136</v>
      </c>
      <c r="B2" s="15"/>
      <c r="C2" s="15"/>
      <c r="D2" s="15"/>
      <c r="E2" s="15"/>
      <c r="F2" s="15"/>
      <c r="G2" s="63"/>
      <c r="H2" s="63"/>
      <c r="I2" s="63"/>
      <c r="J2" s="63"/>
      <c r="K2" s="63"/>
      <c r="L2" s="63"/>
      <c r="M2" s="63"/>
      <c r="N2" s="63"/>
      <c r="O2" s="63"/>
      <c r="P2" s="63"/>
      <c r="Q2" s="63"/>
      <c r="R2" s="63"/>
    </row>
    <row r="3" spans="1:18" x14ac:dyDescent="0.25">
      <c r="A3" s="18" t="s">
        <v>60</v>
      </c>
      <c r="B3" s="63"/>
      <c r="C3" s="63"/>
      <c r="D3" s="63"/>
      <c r="E3" s="63"/>
      <c r="F3" s="63"/>
      <c r="G3" s="63"/>
      <c r="H3" s="63"/>
      <c r="I3" s="63"/>
      <c r="J3" s="63"/>
      <c r="K3" s="63"/>
      <c r="L3" s="63"/>
      <c r="M3" s="63"/>
      <c r="N3" s="63"/>
      <c r="O3" s="63"/>
      <c r="P3" s="63"/>
      <c r="Q3" s="63"/>
      <c r="R3" s="63"/>
    </row>
    <row r="4" spans="1:18" s="64" customFormat="1" ht="7.5" thickBot="1" x14ac:dyDescent="0.2"/>
    <row r="5" spans="1:18" ht="41.25" thickTop="1" x14ac:dyDescent="0.25">
      <c r="A5" s="22" t="s">
        <v>61</v>
      </c>
      <c r="B5" s="23" t="s">
        <v>136</v>
      </c>
      <c r="C5" s="22" t="s">
        <v>62</v>
      </c>
      <c r="D5" s="92" t="s">
        <v>165</v>
      </c>
      <c r="E5" s="25" t="s">
        <v>63</v>
      </c>
      <c r="F5" s="24" t="s">
        <v>64</v>
      </c>
      <c r="G5" s="63"/>
      <c r="H5" s="63"/>
      <c r="I5" s="63"/>
      <c r="J5" s="63"/>
      <c r="K5" s="63"/>
      <c r="L5" s="63"/>
      <c r="M5" s="63"/>
      <c r="N5" s="63"/>
      <c r="O5" s="63"/>
      <c r="P5" s="63"/>
      <c r="Q5" s="63"/>
      <c r="R5" s="63"/>
    </row>
    <row r="6" spans="1:18" ht="15.75" thickBot="1" x14ac:dyDescent="0.3">
      <c r="A6" s="26" t="s">
        <v>65</v>
      </c>
      <c r="B6" s="27" t="s">
        <v>137</v>
      </c>
      <c r="C6" s="28" t="s">
        <v>67</v>
      </c>
      <c r="D6" s="29">
        <v>1</v>
      </c>
      <c r="E6" s="28" t="s">
        <v>68</v>
      </c>
      <c r="F6" s="30">
        <v>2025</v>
      </c>
      <c r="G6" s="63"/>
      <c r="H6" s="63"/>
      <c r="I6" s="63"/>
      <c r="J6" s="63"/>
      <c r="K6" s="63"/>
      <c r="L6" s="63"/>
      <c r="M6" s="63"/>
      <c r="N6" s="63"/>
      <c r="O6" s="63"/>
      <c r="P6" s="63"/>
      <c r="Q6" s="63"/>
      <c r="R6" s="63"/>
    </row>
    <row r="7" spans="1:18" ht="16.5" thickTop="1" thickBot="1" x14ac:dyDescent="0.3">
      <c r="A7" s="63"/>
      <c r="B7" s="63"/>
      <c r="C7" s="63"/>
      <c r="D7" s="63"/>
      <c r="E7" s="63"/>
      <c r="F7" s="63"/>
      <c r="G7" s="63"/>
      <c r="H7" s="63"/>
      <c r="I7" s="63"/>
      <c r="J7" s="63"/>
      <c r="K7" s="63"/>
      <c r="L7" s="63"/>
      <c r="M7" s="63"/>
      <c r="N7" s="63"/>
      <c r="O7" s="63"/>
      <c r="P7" s="63"/>
      <c r="Q7" s="63"/>
      <c r="R7" s="63"/>
    </row>
    <row r="8" spans="1:18" ht="50.25" customHeight="1" thickTop="1" thickBot="1" x14ac:dyDescent="0.3">
      <c r="A8" s="143" t="s">
        <v>138</v>
      </c>
      <c r="B8" s="144"/>
      <c r="C8" s="144"/>
      <c r="D8" s="144"/>
      <c r="E8" s="144"/>
      <c r="F8" s="144"/>
      <c r="G8" s="144"/>
      <c r="H8" s="144"/>
      <c r="I8" s="144"/>
      <c r="J8" s="144"/>
      <c r="K8" s="144"/>
      <c r="L8" s="145"/>
      <c r="M8" s="63"/>
      <c r="N8" s="63"/>
      <c r="O8" s="63"/>
      <c r="P8" s="63"/>
      <c r="Q8" s="63"/>
      <c r="R8" s="63"/>
    </row>
    <row r="9" spans="1:18" ht="15.75" thickTop="1" x14ac:dyDescent="0.25">
      <c r="A9" s="140"/>
      <c r="B9" s="141"/>
      <c r="C9" s="141"/>
      <c r="D9" s="141"/>
      <c r="E9" s="141"/>
      <c r="F9" s="141"/>
      <c r="G9" s="141"/>
      <c r="H9" s="141"/>
      <c r="I9" s="141"/>
      <c r="J9" s="141"/>
      <c r="K9" s="141"/>
      <c r="L9" s="141"/>
      <c r="M9" s="63"/>
      <c r="N9" s="63"/>
      <c r="O9" s="63"/>
      <c r="P9" s="63"/>
      <c r="Q9" s="63"/>
      <c r="R9" s="63"/>
    </row>
    <row r="10" spans="1:18" ht="15.75" x14ac:dyDescent="0.25">
      <c r="A10" s="138" t="s">
        <v>70</v>
      </c>
      <c r="B10" s="138"/>
      <c r="C10" s="138"/>
      <c r="D10" s="138"/>
      <c r="E10" s="138"/>
      <c r="F10" s="138"/>
      <c r="G10" s="138"/>
      <c r="H10" s="138"/>
      <c r="I10" s="138"/>
      <c r="J10" s="138"/>
      <c r="K10" s="138"/>
      <c r="L10" s="138"/>
      <c r="M10" s="63"/>
      <c r="N10" s="63"/>
      <c r="O10" s="63"/>
      <c r="P10" s="63"/>
      <c r="Q10" s="63"/>
      <c r="R10" s="63"/>
    </row>
    <row r="11" spans="1:18" ht="24" customHeight="1" x14ac:dyDescent="0.25">
      <c r="A11" s="140" t="s">
        <v>139</v>
      </c>
      <c r="B11" s="140"/>
      <c r="C11" s="140"/>
      <c r="D11" s="140"/>
      <c r="E11" s="140"/>
      <c r="F11" s="140"/>
      <c r="G11" s="140"/>
      <c r="H11" s="140"/>
      <c r="I11" s="140"/>
      <c r="J11" s="140"/>
      <c r="K11" s="140"/>
      <c r="L11" s="140"/>
      <c r="M11" s="63"/>
      <c r="N11" s="63"/>
      <c r="O11" s="63"/>
      <c r="P11" s="63"/>
      <c r="Q11" s="63"/>
      <c r="R11" s="63"/>
    </row>
    <row r="12" spans="1:18" ht="95.1" customHeight="1" x14ac:dyDescent="0.25">
      <c r="A12" s="141" t="s">
        <v>140</v>
      </c>
      <c r="B12" s="141"/>
      <c r="C12" s="141"/>
      <c r="D12" s="141"/>
      <c r="E12" s="141"/>
      <c r="F12" s="141"/>
      <c r="G12" s="141"/>
      <c r="H12" s="141"/>
      <c r="I12" s="141"/>
      <c r="J12" s="141"/>
      <c r="K12" s="141"/>
      <c r="L12" s="141"/>
      <c r="M12" s="66"/>
      <c r="N12" s="63"/>
      <c r="O12" s="63"/>
      <c r="P12" s="63"/>
      <c r="Q12" s="63"/>
      <c r="R12" s="63"/>
    </row>
    <row r="13" spans="1:18" ht="38.1" customHeight="1" x14ac:dyDescent="0.25">
      <c r="A13" s="140" t="s">
        <v>141</v>
      </c>
      <c r="B13" s="140"/>
      <c r="C13" s="140"/>
      <c r="D13" s="140"/>
      <c r="E13" s="140"/>
      <c r="F13" s="140"/>
      <c r="G13" s="140"/>
      <c r="H13" s="140"/>
      <c r="I13" s="140"/>
      <c r="J13" s="140"/>
      <c r="K13" s="140"/>
      <c r="L13" s="140"/>
      <c r="M13" s="63"/>
      <c r="N13" s="63"/>
      <c r="O13" s="63"/>
      <c r="P13" s="63"/>
      <c r="Q13" s="63"/>
      <c r="R13" s="63"/>
    </row>
    <row r="14" spans="1:18" ht="35.1" customHeight="1" x14ac:dyDescent="0.25">
      <c r="A14" s="141" t="s">
        <v>142</v>
      </c>
      <c r="B14" s="141"/>
      <c r="C14" s="141"/>
      <c r="D14" s="141"/>
      <c r="E14" s="141"/>
      <c r="F14" s="141"/>
      <c r="G14" s="141"/>
      <c r="H14" s="141"/>
      <c r="I14" s="141"/>
      <c r="J14" s="141"/>
      <c r="K14" s="141"/>
      <c r="L14" s="141"/>
      <c r="M14" s="63"/>
      <c r="N14" s="63"/>
      <c r="O14" s="63"/>
      <c r="P14" s="63"/>
      <c r="Q14" s="63"/>
      <c r="R14" s="63"/>
    </row>
    <row r="15" spans="1:18" ht="43.35" customHeight="1" x14ac:dyDescent="0.25">
      <c r="A15" s="140" t="s">
        <v>143</v>
      </c>
      <c r="B15" s="140"/>
      <c r="C15" s="140"/>
      <c r="D15" s="140"/>
      <c r="E15" s="140"/>
      <c r="F15" s="140"/>
      <c r="G15" s="140"/>
      <c r="H15" s="140"/>
      <c r="I15" s="140"/>
      <c r="J15" s="140"/>
      <c r="K15" s="140"/>
      <c r="L15" s="140"/>
      <c r="M15" s="63"/>
      <c r="N15" s="63"/>
      <c r="O15" s="63"/>
      <c r="P15" s="63"/>
      <c r="Q15" s="63"/>
      <c r="R15" s="63"/>
    </row>
    <row r="16" spans="1:18" ht="35.1" customHeight="1" x14ac:dyDescent="0.25">
      <c r="A16" s="105" t="s">
        <v>161</v>
      </c>
      <c r="B16" s="105"/>
      <c r="C16" s="105"/>
      <c r="D16" s="105"/>
      <c r="E16" s="105"/>
      <c r="F16" s="105"/>
      <c r="G16" s="105"/>
      <c r="H16" s="105"/>
      <c r="I16" s="105"/>
      <c r="J16" s="105"/>
      <c r="K16" s="105"/>
      <c r="L16" s="105"/>
      <c r="M16" s="63"/>
      <c r="N16" s="63"/>
      <c r="O16" s="63"/>
      <c r="P16" s="63"/>
      <c r="Q16" s="63"/>
      <c r="R16" s="63"/>
    </row>
    <row r="17" spans="1:18" ht="38.450000000000003" customHeight="1" x14ac:dyDescent="0.25">
      <c r="A17" s="146" t="s">
        <v>167</v>
      </c>
      <c r="B17" s="146"/>
      <c r="C17" s="146"/>
      <c r="D17" s="146"/>
      <c r="E17" s="146"/>
      <c r="F17" s="146"/>
      <c r="G17" s="146"/>
      <c r="H17" s="146"/>
      <c r="I17" s="146"/>
      <c r="J17" s="146"/>
      <c r="K17" s="146"/>
      <c r="L17" s="146"/>
      <c r="M17" s="63"/>
      <c r="N17" s="63"/>
      <c r="O17" s="63"/>
      <c r="P17" s="63"/>
      <c r="Q17" s="63"/>
      <c r="R17" s="63"/>
    </row>
    <row r="18" spans="1:18" ht="10.5" customHeight="1" x14ac:dyDescent="0.25">
      <c r="A18" s="65"/>
      <c r="B18" s="65"/>
      <c r="C18" s="65"/>
      <c r="D18" s="65"/>
      <c r="E18" s="65"/>
      <c r="F18" s="65"/>
      <c r="G18" s="65"/>
      <c r="H18" s="65"/>
      <c r="I18" s="65"/>
      <c r="J18" s="65"/>
      <c r="K18" s="65"/>
      <c r="L18" s="65"/>
      <c r="M18" s="63"/>
      <c r="N18" s="63"/>
      <c r="O18" s="63"/>
      <c r="P18" s="63"/>
      <c r="Q18" s="63"/>
      <c r="R18" s="63"/>
    </row>
    <row r="19" spans="1:18" ht="15.75" x14ac:dyDescent="0.25">
      <c r="A19" s="67" t="s">
        <v>144</v>
      </c>
      <c r="B19" s="68"/>
      <c r="C19" s="68"/>
      <c r="D19" s="68"/>
      <c r="E19" s="68"/>
      <c r="F19" s="68"/>
      <c r="G19" s="68"/>
      <c r="H19" s="68"/>
      <c r="I19" s="68"/>
      <c r="J19" s="68"/>
      <c r="K19" s="68"/>
      <c r="L19" s="68"/>
      <c r="M19" s="63"/>
      <c r="N19" s="63"/>
      <c r="O19" s="63"/>
      <c r="P19" s="63"/>
      <c r="Q19" s="63"/>
      <c r="R19" s="63"/>
    </row>
    <row r="20" spans="1:18" s="70" customFormat="1" ht="191.25" customHeight="1" x14ac:dyDescent="0.25">
      <c r="A20" s="142" t="s">
        <v>166</v>
      </c>
      <c r="B20" s="142"/>
      <c r="C20" s="142"/>
      <c r="D20" s="142"/>
      <c r="E20" s="142"/>
      <c r="F20" s="142"/>
      <c r="G20" s="142"/>
      <c r="H20" s="142"/>
      <c r="I20" s="142"/>
      <c r="J20" s="142"/>
      <c r="K20" s="142"/>
      <c r="L20" s="142"/>
    </row>
    <row r="21" spans="1:18" ht="19.350000000000001" customHeight="1" x14ac:dyDescent="0.25">
      <c r="A21" s="138" t="s">
        <v>146</v>
      </c>
      <c r="B21" s="138"/>
      <c r="C21" s="138"/>
      <c r="D21" s="138"/>
      <c r="E21" s="138"/>
      <c r="F21" s="138"/>
      <c r="G21" s="138"/>
      <c r="H21" s="138"/>
      <c r="I21" s="138"/>
      <c r="J21" s="138"/>
      <c r="K21" s="138"/>
      <c r="L21" s="138"/>
      <c r="M21" s="63"/>
      <c r="N21" s="63"/>
      <c r="O21" s="63"/>
      <c r="P21" s="63"/>
      <c r="Q21" s="63"/>
      <c r="R21" s="63"/>
    </row>
    <row r="22" spans="1:18" ht="18.75" customHeight="1" x14ac:dyDescent="0.25">
      <c r="A22" s="140" t="s">
        <v>147</v>
      </c>
      <c r="B22" s="140"/>
      <c r="C22" s="140"/>
      <c r="D22" s="140"/>
      <c r="E22" s="140"/>
      <c r="F22" s="140"/>
      <c r="G22" s="140"/>
      <c r="H22" s="140"/>
      <c r="I22" s="140"/>
      <c r="J22" s="140"/>
      <c r="K22" s="140"/>
      <c r="L22" s="140"/>
      <c r="M22" s="63"/>
      <c r="N22" s="63"/>
      <c r="O22" s="63"/>
      <c r="P22" s="63"/>
      <c r="Q22" s="63"/>
      <c r="R22" s="63"/>
    </row>
    <row r="23" spans="1:18" ht="24" customHeight="1" x14ac:dyDescent="0.25">
      <c r="A23" s="140" t="s">
        <v>148</v>
      </c>
      <c r="B23" s="140"/>
      <c r="C23" s="140"/>
      <c r="D23" s="140"/>
      <c r="E23" s="140"/>
      <c r="F23" s="140"/>
      <c r="G23" s="140"/>
      <c r="H23" s="140"/>
      <c r="I23" s="140"/>
      <c r="J23" s="140"/>
      <c r="K23" s="140"/>
      <c r="L23" s="140"/>
      <c r="M23" s="63"/>
      <c r="N23" s="63"/>
      <c r="O23" s="63"/>
      <c r="P23" s="63"/>
      <c r="Q23" s="63"/>
      <c r="R23" s="63"/>
    </row>
    <row r="24" spans="1:18" s="44" customFormat="1" ht="26.25" customHeight="1" x14ac:dyDescent="0.25">
      <c r="A24" s="69"/>
      <c r="B24" s="69"/>
      <c r="C24" s="69"/>
      <c r="D24" s="69"/>
      <c r="E24" s="69"/>
      <c r="F24" s="69"/>
      <c r="G24" s="69"/>
      <c r="H24" s="69"/>
      <c r="I24" s="69"/>
      <c r="J24" s="69"/>
      <c r="K24" s="69"/>
      <c r="L24" s="69"/>
    </row>
    <row r="25" spans="1:18" s="44" customFormat="1" ht="18" x14ac:dyDescent="0.35">
      <c r="A25" s="71" t="s">
        <v>81</v>
      </c>
      <c r="B25" s="35" t="s">
        <v>149</v>
      </c>
      <c r="C25" s="35" t="s">
        <v>83</v>
      </c>
      <c r="D25" s="36" t="s">
        <v>150</v>
      </c>
      <c r="E25" s="36" t="s">
        <v>84</v>
      </c>
      <c r="F25" s="36" t="s">
        <v>85</v>
      </c>
      <c r="G25" s="36" t="s">
        <v>86</v>
      </c>
      <c r="H25" s="36" t="s">
        <v>87</v>
      </c>
    </row>
    <row r="26" spans="1:18" s="44" customFormat="1" x14ac:dyDescent="0.25">
      <c r="A26" s="72" t="s">
        <v>151</v>
      </c>
      <c r="B26" s="36" t="s">
        <v>152</v>
      </c>
      <c r="C26" s="36" t="s">
        <v>153</v>
      </c>
      <c r="D26" s="73">
        <v>2025</v>
      </c>
      <c r="E26" s="94">
        <v>0.17699999999999999</v>
      </c>
      <c r="F26" s="80">
        <v>0.17488999999999999</v>
      </c>
      <c r="G26" s="80">
        <v>8.9999999999999998E-4</v>
      </c>
      <c r="H26" s="80">
        <v>1.2199999999999999E-3</v>
      </c>
      <c r="M26" s="75"/>
    </row>
    <row r="27" spans="1:18" s="44" customFormat="1" x14ac:dyDescent="0.25">
      <c r="A27" s="69"/>
      <c r="B27" s="70"/>
      <c r="C27" s="70"/>
      <c r="D27" s="70"/>
      <c r="E27" s="70"/>
      <c r="F27" s="70"/>
      <c r="G27" s="70"/>
      <c r="H27" s="70"/>
      <c r="I27" s="70"/>
      <c r="J27" s="70"/>
      <c r="K27" s="70"/>
      <c r="L27" s="70"/>
    </row>
    <row r="28" spans="1:18" s="44" customFormat="1" x14ac:dyDescent="0.25">
      <c r="A28" s="69"/>
      <c r="B28" s="70"/>
      <c r="C28" s="70"/>
      <c r="D28" s="70"/>
      <c r="E28" s="70"/>
      <c r="F28" s="70"/>
      <c r="G28" s="70"/>
      <c r="H28" s="70"/>
      <c r="I28" s="70"/>
      <c r="J28" s="70"/>
      <c r="K28" s="70"/>
      <c r="L28" s="70"/>
    </row>
    <row r="29" spans="1:18" s="76" customFormat="1" ht="15.75" x14ac:dyDescent="0.25">
      <c r="A29" s="138" t="s">
        <v>128</v>
      </c>
      <c r="B29" s="138"/>
      <c r="C29" s="138"/>
      <c r="D29" s="138"/>
      <c r="E29" s="138"/>
      <c r="F29" s="138"/>
      <c r="G29" s="138"/>
      <c r="H29" s="138"/>
      <c r="I29" s="138"/>
      <c r="J29" s="138"/>
      <c r="K29" s="138"/>
      <c r="L29" s="138"/>
    </row>
    <row r="30" spans="1:18" s="77" customFormat="1" ht="18" customHeight="1" x14ac:dyDescent="0.25">
      <c r="A30" s="139" t="s">
        <v>154</v>
      </c>
      <c r="B30" s="139"/>
      <c r="C30" s="139"/>
      <c r="D30" s="139"/>
      <c r="E30" s="139"/>
      <c r="F30" s="139"/>
      <c r="G30" s="139"/>
      <c r="H30" s="139"/>
      <c r="I30" s="139"/>
      <c r="J30" s="139"/>
      <c r="K30" s="139"/>
      <c r="L30" s="139"/>
    </row>
    <row r="31" spans="1:18" s="78" customFormat="1" ht="54" customHeight="1" x14ac:dyDescent="0.25">
      <c r="A31" s="140" t="s">
        <v>155</v>
      </c>
      <c r="B31" s="140"/>
      <c r="C31" s="140"/>
      <c r="D31" s="140"/>
      <c r="E31" s="140"/>
      <c r="F31" s="140"/>
      <c r="G31" s="140"/>
      <c r="H31" s="140"/>
      <c r="I31" s="140"/>
      <c r="J31" s="140"/>
      <c r="K31" s="140"/>
      <c r="L31" s="140"/>
    </row>
    <row r="32" spans="1:18" s="77" customFormat="1" ht="23.25" customHeight="1" x14ac:dyDescent="0.25">
      <c r="A32" s="139" t="s">
        <v>156</v>
      </c>
      <c r="B32" s="139"/>
      <c r="C32" s="139"/>
      <c r="D32" s="139"/>
      <c r="E32" s="139"/>
      <c r="F32" s="139"/>
      <c r="G32" s="139"/>
      <c r="H32" s="139"/>
      <c r="I32" s="139"/>
      <c r="J32" s="139"/>
      <c r="K32" s="139"/>
      <c r="L32" s="139"/>
    </row>
    <row r="33" spans="1:18" s="78" customFormat="1" ht="35.25" customHeight="1" x14ac:dyDescent="0.25">
      <c r="A33" s="140" t="s">
        <v>157</v>
      </c>
      <c r="B33" s="140"/>
      <c r="C33" s="140"/>
      <c r="D33" s="140"/>
      <c r="E33" s="140"/>
      <c r="F33" s="140"/>
      <c r="G33" s="140"/>
      <c r="H33" s="140"/>
      <c r="I33" s="140"/>
      <c r="J33" s="140"/>
      <c r="K33" s="140"/>
      <c r="L33" s="140"/>
    </row>
    <row r="34" spans="1:18" x14ac:dyDescent="0.25">
      <c r="A34" s="62" t="s">
        <v>135</v>
      </c>
      <c r="B34" s="62"/>
      <c r="C34" s="62"/>
      <c r="D34" s="62"/>
      <c r="E34" s="62"/>
      <c r="F34" s="62"/>
      <c r="G34" s="62"/>
      <c r="H34" s="62"/>
      <c r="I34" s="62"/>
      <c r="J34" s="62"/>
      <c r="K34" s="62"/>
      <c r="L34" s="62"/>
      <c r="M34" s="63"/>
      <c r="N34" s="63"/>
      <c r="O34" s="63"/>
      <c r="P34" s="63"/>
      <c r="Q34" s="63"/>
      <c r="R34" s="63"/>
    </row>
    <row r="35" spans="1:18" x14ac:dyDescent="0.25">
      <c r="A35" s="63"/>
      <c r="B35" s="63"/>
      <c r="C35" s="63"/>
      <c r="D35" s="63"/>
      <c r="E35" s="63"/>
      <c r="F35" s="63"/>
      <c r="G35" s="63"/>
      <c r="H35" s="63"/>
      <c r="I35" s="63"/>
      <c r="J35" s="63"/>
      <c r="K35" s="63"/>
      <c r="L35" s="63"/>
      <c r="M35" s="63"/>
      <c r="N35" s="63"/>
      <c r="O35" s="63"/>
      <c r="P35" s="63"/>
      <c r="Q35" s="63"/>
      <c r="R35" s="63"/>
    </row>
    <row r="36" spans="1:18" x14ac:dyDescent="0.25">
      <c r="A36" s="63"/>
      <c r="B36" s="63"/>
      <c r="C36" s="63"/>
      <c r="D36" s="63"/>
      <c r="E36" s="63"/>
      <c r="F36" s="63"/>
      <c r="G36" s="63"/>
      <c r="H36" s="63"/>
      <c r="I36" s="63"/>
      <c r="J36" s="63"/>
      <c r="K36" s="63"/>
      <c r="L36" s="63"/>
      <c r="M36" s="63"/>
      <c r="N36" s="63"/>
      <c r="O36" s="63"/>
      <c r="P36" s="63"/>
      <c r="Q36" s="63"/>
      <c r="R36" s="63"/>
    </row>
    <row r="37" spans="1:18" x14ac:dyDescent="0.25">
      <c r="A37" s="63"/>
      <c r="B37" s="63"/>
      <c r="C37" s="63"/>
      <c r="D37" s="63"/>
      <c r="E37" s="63"/>
      <c r="F37" s="63"/>
      <c r="G37" s="63"/>
      <c r="H37" s="63"/>
      <c r="I37" s="63"/>
      <c r="J37" s="63"/>
      <c r="K37" s="63"/>
      <c r="L37" s="63"/>
      <c r="M37" s="63"/>
      <c r="N37" s="63"/>
      <c r="O37" s="63"/>
      <c r="P37" s="63"/>
      <c r="Q37" s="63"/>
      <c r="R37" s="63"/>
    </row>
    <row r="38" spans="1:18" x14ac:dyDescent="0.25">
      <c r="A38" s="63"/>
      <c r="B38" s="63"/>
      <c r="C38" s="63"/>
      <c r="D38" s="63"/>
      <c r="E38" s="63"/>
      <c r="F38" s="63"/>
      <c r="G38" s="63"/>
      <c r="H38" s="63"/>
      <c r="I38" s="63"/>
      <c r="J38" s="63"/>
      <c r="K38" s="63"/>
      <c r="L38" s="63"/>
      <c r="M38" s="63"/>
      <c r="N38" s="63"/>
      <c r="O38" s="63"/>
      <c r="P38" s="63"/>
      <c r="Q38" s="63"/>
      <c r="R38" s="63"/>
    </row>
    <row r="39" spans="1:18" x14ac:dyDescent="0.25">
      <c r="A39" s="63"/>
      <c r="B39" s="63"/>
      <c r="C39" s="63"/>
      <c r="D39" s="63"/>
      <c r="E39" s="63"/>
      <c r="F39" s="63"/>
      <c r="G39" s="63"/>
      <c r="H39" s="63"/>
      <c r="I39" s="63"/>
      <c r="J39" s="63"/>
      <c r="K39" s="63"/>
      <c r="L39" s="63"/>
      <c r="M39" s="63"/>
      <c r="N39" s="63"/>
      <c r="O39" s="63"/>
      <c r="P39" s="63"/>
      <c r="Q39" s="63"/>
      <c r="R39" s="63"/>
    </row>
    <row r="40" spans="1:18" x14ac:dyDescent="0.25">
      <c r="A40" s="63"/>
      <c r="B40" s="63"/>
      <c r="C40" s="63"/>
      <c r="D40" s="63"/>
      <c r="E40" s="63"/>
      <c r="F40" s="63"/>
      <c r="G40" s="63"/>
      <c r="H40" s="63"/>
      <c r="I40" s="63"/>
      <c r="J40" s="63"/>
      <c r="K40" s="63"/>
      <c r="L40" s="63"/>
      <c r="M40" s="63"/>
      <c r="N40" s="63"/>
      <c r="O40" s="63"/>
      <c r="P40" s="63"/>
      <c r="Q40" s="63"/>
      <c r="R40" s="63"/>
    </row>
    <row r="41" spans="1:18" x14ac:dyDescent="0.25">
      <c r="A41" s="63"/>
      <c r="B41" s="63"/>
      <c r="C41" s="63"/>
      <c r="D41" s="63"/>
      <c r="E41" s="63"/>
      <c r="F41" s="63"/>
      <c r="G41" s="63"/>
      <c r="H41" s="63"/>
      <c r="I41" s="63"/>
      <c r="J41" s="63"/>
      <c r="K41" s="63"/>
      <c r="L41" s="63"/>
      <c r="M41" s="63"/>
      <c r="N41" s="63"/>
      <c r="O41" s="63"/>
      <c r="P41" s="63"/>
      <c r="Q41" s="63"/>
      <c r="R41" s="63"/>
    </row>
    <row r="42" spans="1:18" x14ac:dyDescent="0.25">
      <c r="A42" s="63"/>
      <c r="B42" s="63"/>
      <c r="C42" s="63"/>
      <c r="D42" s="63"/>
      <c r="E42" s="63"/>
      <c r="F42" s="63"/>
      <c r="G42" s="63"/>
      <c r="H42" s="63"/>
      <c r="I42" s="63"/>
      <c r="J42" s="63"/>
      <c r="K42" s="63"/>
      <c r="L42" s="63"/>
      <c r="M42" s="63"/>
      <c r="N42" s="63"/>
      <c r="O42" s="63"/>
      <c r="P42" s="63"/>
      <c r="Q42" s="63"/>
      <c r="R42" s="63"/>
    </row>
    <row r="43" spans="1:18" x14ac:dyDescent="0.25">
      <c r="A43" s="63"/>
      <c r="B43" s="63"/>
      <c r="C43" s="63"/>
      <c r="D43" s="63"/>
      <c r="E43" s="63"/>
      <c r="F43" s="63"/>
      <c r="G43" s="63"/>
      <c r="H43" s="63"/>
      <c r="I43" s="63"/>
      <c r="J43" s="63"/>
      <c r="K43" s="63"/>
      <c r="L43" s="63"/>
      <c r="M43" s="63"/>
      <c r="N43" s="63"/>
      <c r="O43" s="63"/>
      <c r="P43" s="63"/>
      <c r="Q43" s="63"/>
      <c r="R43" s="63"/>
    </row>
    <row r="44" spans="1:18" x14ac:dyDescent="0.25">
      <c r="A44" s="63"/>
      <c r="B44" s="63"/>
      <c r="C44" s="63"/>
      <c r="D44" s="63"/>
      <c r="E44" s="63"/>
      <c r="F44" s="63"/>
      <c r="G44" s="63"/>
      <c r="H44" s="63"/>
      <c r="I44" s="63"/>
      <c r="J44" s="63"/>
      <c r="K44" s="63"/>
      <c r="L44" s="63"/>
      <c r="M44" s="63"/>
      <c r="N44" s="63"/>
      <c r="O44" s="63"/>
      <c r="P44" s="63"/>
      <c r="Q44" s="63"/>
      <c r="R44" s="63"/>
    </row>
    <row r="45" spans="1:18" x14ac:dyDescent="0.25">
      <c r="A45" s="63"/>
      <c r="B45" s="63"/>
      <c r="C45" s="63"/>
      <c r="D45" s="63"/>
      <c r="E45" s="63"/>
      <c r="F45" s="63"/>
      <c r="G45" s="63"/>
      <c r="H45" s="63"/>
      <c r="I45" s="63"/>
      <c r="J45" s="63"/>
      <c r="K45" s="63"/>
      <c r="L45" s="63"/>
      <c r="M45" s="63"/>
      <c r="N45" s="63"/>
      <c r="O45" s="63"/>
      <c r="P45" s="63"/>
      <c r="Q45" s="63"/>
      <c r="R45" s="63"/>
    </row>
    <row r="46" spans="1:18" x14ac:dyDescent="0.25">
      <c r="A46" s="63"/>
      <c r="B46" s="63"/>
      <c r="C46" s="63"/>
      <c r="D46" s="63"/>
      <c r="E46" s="63"/>
      <c r="F46" s="63"/>
      <c r="G46" s="63"/>
      <c r="H46" s="63"/>
      <c r="I46" s="63"/>
      <c r="J46" s="63"/>
      <c r="K46" s="63"/>
      <c r="L46" s="63"/>
      <c r="M46" s="63"/>
      <c r="N46" s="63"/>
      <c r="O46" s="63"/>
      <c r="P46" s="63"/>
      <c r="Q46" s="63"/>
      <c r="R46" s="63"/>
    </row>
    <row r="47" spans="1:18" x14ac:dyDescent="0.25">
      <c r="A47" s="63"/>
      <c r="B47" s="63"/>
      <c r="C47" s="63"/>
      <c r="D47" s="63"/>
      <c r="E47" s="63"/>
      <c r="F47" s="63"/>
      <c r="G47" s="63"/>
      <c r="H47" s="63"/>
      <c r="I47" s="63"/>
      <c r="J47" s="63"/>
      <c r="K47" s="63"/>
      <c r="L47" s="63"/>
      <c r="M47" s="63"/>
      <c r="N47" s="63"/>
      <c r="O47" s="63"/>
      <c r="P47" s="63"/>
      <c r="Q47" s="63"/>
      <c r="R47" s="63"/>
    </row>
    <row r="48" spans="1:18" x14ac:dyDescent="0.25">
      <c r="A48" s="63"/>
      <c r="B48" s="63"/>
      <c r="C48" s="63"/>
      <c r="D48" s="63"/>
      <c r="E48" s="63"/>
      <c r="F48" s="63"/>
      <c r="G48" s="63"/>
      <c r="H48" s="63"/>
      <c r="I48" s="63"/>
      <c r="J48" s="63"/>
      <c r="K48" s="63"/>
      <c r="L48" s="63"/>
      <c r="M48" s="63"/>
      <c r="N48" s="63"/>
      <c r="O48" s="63"/>
      <c r="P48" s="63"/>
      <c r="Q48" s="63"/>
      <c r="R48" s="63"/>
    </row>
    <row r="49" s="63" customFormat="1" x14ac:dyDescent="0.25"/>
    <row r="50" s="63" customFormat="1" x14ac:dyDescent="0.25"/>
    <row r="51" s="63" customFormat="1" x14ac:dyDescent="0.25"/>
    <row r="52" s="63" customFormat="1" x14ac:dyDescent="0.25"/>
    <row r="53" s="63" customFormat="1" x14ac:dyDescent="0.25"/>
    <row r="54" s="63" customFormat="1" x14ac:dyDescent="0.25"/>
    <row r="55" s="63" customFormat="1" x14ac:dyDescent="0.25"/>
    <row r="56" s="63" customFormat="1" x14ac:dyDescent="0.25"/>
    <row r="57" s="63" customFormat="1" x14ac:dyDescent="0.25"/>
    <row r="58" s="63" customFormat="1" x14ac:dyDescent="0.25"/>
    <row r="59" s="63" customFormat="1" x14ac:dyDescent="0.25"/>
    <row r="60" s="63" customFormat="1" x14ac:dyDescent="0.25"/>
    <row r="61" s="63" customFormat="1" x14ac:dyDescent="0.25"/>
    <row r="62" s="63" customFormat="1" x14ac:dyDescent="0.25"/>
    <row r="63" s="63" customFormat="1" x14ac:dyDescent="0.25"/>
    <row r="64" s="63" customFormat="1" x14ac:dyDescent="0.25"/>
    <row r="65" s="63" customFormat="1" x14ac:dyDescent="0.25"/>
    <row r="66" s="63" customFormat="1" x14ac:dyDescent="0.25"/>
    <row r="67" s="63" customFormat="1" x14ac:dyDescent="0.25"/>
    <row r="68" s="63" customFormat="1" x14ac:dyDescent="0.25"/>
    <row r="69" s="63" customFormat="1" x14ac:dyDescent="0.25"/>
    <row r="70" s="63" customFormat="1" x14ac:dyDescent="0.25"/>
    <row r="71" s="63" customFormat="1" x14ac:dyDescent="0.25"/>
    <row r="72" s="63" customFormat="1" x14ac:dyDescent="0.25"/>
    <row r="73" s="63" customFormat="1" x14ac:dyDescent="0.25"/>
    <row r="74" s="63" customFormat="1" x14ac:dyDescent="0.25"/>
    <row r="75" s="63" customFormat="1" x14ac:dyDescent="0.25"/>
    <row r="76" s="63" customFormat="1" x14ac:dyDescent="0.25"/>
    <row r="77" s="63" customFormat="1" x14ac:dyDescent="0.25"/>
    <row r="78" s="63" customFormat="1" x14ac:dyDescent="0.25"/>
    <row r="79" s="63" customFormat="1" x14ac:dyDescent="0.25"/>
    <row r="80" s="63" customFormat="1" x14ac:dyDescent="0.25"/>
    <row r="81" s="63" customFormat="1" x14ac:dyDescent="0.25"/>
    <row r="82" s="63" customFormat="1" x14ac:dyDescent="0.25"/>
    <row r="83" s="63" customFormat="1" x14ac:dyDescent="0.25"/>
    <row r="84" s="63" customFormat="1" x14ac:dyDescent="0.25"/>
    <row r="85" s="63" customFormat="1" x14ac:dyDescent="0.25"/>
    <row r="86" s="63" customFormat="1" x14ac:dyDescent="0.25"/>
    <row r="87" s="63" customFormat="1" x14ac:dyDescent="0.25"/>
    <row r="88" s="63" customFormat="1" x14ac:dyDescent="0.25"/>
    <row r="89" s="63" customFormat="1" x14ac:dyDescent="0.25"/>
    <row r="90" s="63" customFormat="1" x14ac:dyDescent="0.25"/>
    <row r="91" s="63" customFormat="1" x14ac:dyDescent="0.25"/>
    <row r="92" s="63" customFormat="1" x14ac:dyDescent="0.25"/>
    <row r="93" s="63" customFormat="1" x14ac:dyDescent="0.25"/>
    <row r="94" s="63" customFormat="1" x14ac:dyDescent="0.25"/>
    <row r="95" s="63" customFormat="1" x14ac:dyDescent="0.25"/>
    <row r="96" s="63" customFormat="1" x14ac:dyDescent="0.25"/>
    <row r="97" s="63" customFormat="1" x14ac:dyDescent="0.25"/>
    <row r="98" s="63" customFormat="1" x14ac:dyDescent="0.25"/>
    <row r="99" s="63" customFormat="1" x14ac:dyDescent="0.25"/>
    <row r="100" s="63" customFormat="1" x14ac:dyDescent="0.25"/>
    <row r="101" s="63" customFormat="1" x14ac:dyDescent="0.25"/>
    <row r="102" s="63" customFormat="1" x14ac:dyDescent="0.25"/>
    <row r="103" s="63" customFormat="1" x14ac:dyDescent="0.25"/>
    <row r="104" s="63" customFormat="1" x14ac:dyDescent="0.25"/>
    <row r="105" s="63" customFormat="1" x14ac:dyDescent="0.25"/>
    <row r="106" s="63" customFormat="1" x14ac:dyDescent="0.25"/>
    <row r="107" s="63" customFormat="1" x14ac:dyDescent="0.25"/>
    <row r="108" s="63" customFormat="1" x14ac:dyDescent="0.25"/>
    <row r="109" s="63" customFormat="1" x14ac:dyDescent="0.25"/>
    <row r="110" s="63" customFormat="1" x14ac:dyDescent="0.25"/>
    <row r="111" s="63" customFormat="1" x14ac:dyDescent="0.25"/>
    <row r="112" s="63" customFormat="1" x14ac:dyDescent="0.25"/>
    <row r="113" s="63" customFormat="1" x14ac:dyDescent="0.25"/>
    <row r="114" s="63" customFormat="1" x14ac:dyDescent="0.25"/>
    <row r="115" s="63" customFormat="1" x14ac:dyDescent="0.25"/>
    <row r="116" s="63" customFormat="1" x14ac:dyDescent="0.25"/>
    <row r="117" s="63" customFormat="1" x14ac:dyDescent="0.25"/>
    <row r="118" s="63" customFormat="1" x14ac:dyDescent="0.25"/>
    <row r="119" s="63" customFormat="1" x14ac:dyDescent="0.25"/>
    <row r="120" s="63" customFormat="1" x14ac:dyDescent="0.25"/>
    <row r="121" s="63" customFormat="1" x14ac:dyDescent="0.25"/>
    <row r="122" s="63" customFormat="1" x14ac:dyDescent="0.25"/>
    <row r="123" s="63" customFormat="1" x14ac:dyDescent="0.25"/>
    <row r="124" s="63" customFormat="1" x14ac:dyDescent="0.25"/>
    <row r="125" s="63" customFormat="1" x14ac:dyDescent="0.25"/>
    <row r="126" s="63" customFormat="1" x14ac:dyDescent="0.25"/>
    <row r="127" s="63" customFormat="1" x14ac:dyDescent="0.25"/>
    <row r="128" s="63" customFormat="1" x14ac:dyDescent="0.25"/>
    <row r="129" s="63" customFormat="1" x14ac:dyDescent="0.25"/>
    <row r="130" s="63" customFormat="1" x14ac:dyDescent="0.25"/>
  </sheetData>
  <mergeCells count="19">
    <mergeCell ref="A22:L22"/>
    <mergeCell ref="A23:L23"/>
    <mergeCell ref="A32:L32"/>
    <mergeCell ref="A33:L33"/>
    <mergeCell ref="A30:L30"/>
    <mergeCell ref="A31:L31"/>
    <mergeCell ref="A29:L29"/>
    <mergeCell ref="A21:L21"/>
    <mergeCell ref="A13:L13"/>
    <mergeCell ref="A15:L15"/>
    <mergeCell ref="A20:L20"/>
    <mergeCell ref="A14:L14"/>
    <mergeCell ref="A16:L16"/>
    <mergeCell ref="A17:L17"/>
    <mergeCell ref="A8:L8"/>
    <mergeCell ref="A9:L9"/>
    <mergeCell ref="A10:L10"/>
    <mergeCell ref="A11:L11"/>
    <mergeCell ref="A12:L12"/>
  </mergeCells>
  <hyperlinks>
    <hyperlink ref="A14:L14" r:id="rId1" display="●  Organisations that generate renewable energy or purchase green energy should refer to Defra's  'Environmental reporting guidelines' for information on how to account for their electricity usage" xr:uid="{CB740732-909F-455C-96A9-717F8524DC74}"/>
    <hyperlink ref="A3" location="Index!A1" display="Index" xr:uid="{3E8B5E71-F886-4F2B-9CAB-CCF8D99B2E4C}"/>
  </hyperlinks>
  <pageMargins left="0.7" right="0.7" top="0.75" bottom="0.75" header="0.3" footer="0.3"/>
  <pageSetup paperSize="9" scale="60" fitToHeight="0" orientation="landscape" r:id="rId2"/>
  <headerFooter alignWithMargins="0">
    <oddHeader>&amp;C&amp;"Calibri"&amp;10&amp;K000000 OFFICIAL&amp;1#_x000D_</oddHeader>
    <oddFooter>&amp;C_x000D_&amp;1#&amp;"Calibri"&amp;10&amp;K000000 OFFICIAL</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Information and Variables</vt:lpstr>
      <vt:lpstr>Combined Site Table</vt:lpstr>
      <vt:lpstr>EGLC_HDD_18.5C</vt:lpstr>
      <vt:lpstr>Site A</vt:lpstr>
      <vt:lpstr>Site B</vt:lpstr>
      <vt:lpstr>Site C</vt:lpstr>
      <vt:lpstr>Site D</vt:lpstr>
      <vt:lpstr>Fuels 23</vt:lpstr>
      <vt:lpstr>Fuels 24</vt:lpstr>
      <vt:lpstr>Fuels 25</vt:lpstr>
      <vt:lpstr>UK electricity 23</vt:lpstr>
      <vt:lpstr>UK electricity 24</vt:lpstr>
      <vt:lpstr>UK electricity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mcdonald</dc:creator>
  <cp:lastModifiedBy>lewis mcdonald</cp:lastModifiedBy>
  <dcterms:created xsi:type="dcterms:W3CDTF">2026-06-03T21:23:32Z</dcterms:created>
  <dcterms:modified xsi:type="dcterms:W3CDTF">2026-06-06T18:29:41Z</dcterms:modified>
</cp:coreProperties>
</file>